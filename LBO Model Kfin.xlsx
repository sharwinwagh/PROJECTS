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wati\Desktop\"/>
    </mc:Choice>
  </mc:AlternateContent>
  <xr:revisionPtr revIDLastSave="0" documentId="8_{9F02AAFC-0284-4403-B8D1-6F9831C0DCE1}" xr6:coauthVersionLast="47" xr6:coauthVersionMax="47" xr10:uidLastSave="{00000000-0000-0000-0000-000000000000}"/>
  <bookViews>
    <workbookView xWindow="-108" yWindow="-108" windowWidth="23256" windowHeight="13896" activeTab="1" xr2:uid="{88726139-B4A4-46C0-9F9A-B2CA38E9D49B}"/>
  </bookViews>
  <sheets>
    <sheet name="DATA" sheetId="13" r:id="rId1"/>
    <sheet name="COVER PAGE" sheetId="1" r:id="rId2"/>
    <sheet name="ASSUMPTIONS" sheetId="2" r:id="rId3"/>
    <sheet name="HISTORICAL DATA" sheetId="3" r:id="rId4"/>
    <sheet name="OPERATING FORECAST" sheetId="4" r:id="rId5"/>
    <sheet name="PURCHASE PRICE &amp; SOURCES, USES" sheetId="6" r:id="rId6"/>
    <sheet name="DEBT SCHEDULE" sheetId="7" r:id="rId7"/>
    <sheet name="EXIT, GAIN ANALYSIS &amp; SENSITIVI" sheetId="9" r:id="rId8"/>
  </sheets>
  <definedNames>
    <definedName name="_xlnm.Print_Area" localSheetId="2">ASSUMPTIONS!$B$1:$G$58</definedName>
    <definedName name="_xlnm.Print_Area" localSheetId="1">'COVER PAGE'!$B$1:$G$58</definedName>
    <definedName name="_xlnm.Print_Area" localSheetId="6">'DEBT SCHEDULE'!$B$1:$G$58</definedName>
    <definedName name="_xlnm.Print_Area" localSheetId="7">'EXIT, GAIN ANALYSIS &amp; SENSITIVI'!$B$1:$G$58</definedName>
    <definedName name="_xlnm.Print_Area" localSheetId="3">'HISTORICAL DATA'!$B$1:$G$58</definedName>
    <definedName name="_xlnm.Print_Area" localSheetId="4">'OPERATING FORECAST'!$B$1:$G$58</definedName>
    <definedName name="_xlnm.Print_Area" localSheetId="5">'PURCHASE PRICE &amp; SOURCES, USES'!$B$1:$G$58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 i="2" l="1"/>
  <c r="D46" i="7"/>
  <c r="C53" i="2"/>
  <c r="D22" i="7"/>
  <c r="G36" i="2"/>
  <c r="C35" i="2"/>
  <c r="C16" i="6"/>
  <c r="C15" i="6"/>
  <c r="C12" i="6"/>
  <c r="C9" i="6"/>
  <c r="C8" i="6"/>
  <c r="D9" i="7"/>
  <c r="G34" i="2"/>
  <c r="G33" i="2"/>
  <c r="G26" i="2"/>
  <c r="G25" i="2"/>
  <c r="G30" i="2"/>
  <c r="C12" i="2"/>
  <c r="G56" i="3"/>
  <c r="F56" i="3"/>
  <c r="E56" i="3"/>
  <c r="D56" i="3"/>
  <c r="C56" i="3"/>
  <c r="D8" i="3"/>
  <c r="E8" i="3"/>
  <c r="F8" i="3"/>
  <c r="G8" i="3"/>
  <c r="D10" i="3"/>
  <c r="E10" i="3"/>
  <c r="F10" i="3"/>
  <c r="G10" i="3"/>
  <c r="D12" i="3"/>
  <c r="E12" i="3"/>
  <c r="F12" i="3"/>
  <c r="G12" i="3"/>
  <c r="D14" i="3"/>
  <c r="E14" i="3"/>
  <c r="F14" i="3"/>
  <c r="G14" i="3"/>
  <c r="D16" i="3"/>
  <c r="E16" i="3"/>
  <c r="F16" i="3"/>
  <c r="G16" i="3"/>
  <c r="D18" i="3"/>
  <c r="E18" i="3"/>
  <c r="F18" i="3"/>
  <c r="G18" i="3"/>
  <c r="D20" i="3"/>
  <c r="E20" i="3"/>
  <c r="F20" i="3"/>
  <c r="G20" i="3"/>
  <c r="D22" i="3"/>
  <c r="E22" i="3"/>
  <c r="F22" i="3"/>
  <c r="G22" i="3"/>
  <c r="D38" i="3"/>
  <c r="E38" i="3"/>
  <c r="F38" i="3"/>
  <c r="G38" i="3"/>
  <c r="D40" i="3"/>
  <c r="E40" i="3"/>
  <c r="F40" i="3"/>
  <c r="G40" i="3"/>
  <c r="D42" i="3"/>
  <c r="E42" i="3"/>
  <c r="F42" i="3"/>
  <c r="G42" i="3"/>
  <c r="D44" i="3"/>
  <c r="E44" i="3"/>
  <c r="F44" i="3"/>
  <c r="G44" i="3"/>
  <c r="C44" i="3"/>
  <c r="C40" i="3"/>
  <c r="C38" i="3"/>
  <c r="D24" i="3"/>
  <c r="E24" i="3"/>
  <c r="F24" i="3"/>
  <c r="G24" i="3"/>
  <c r="D26" i="3"/>
  <c r="E26" i="3"/>
  <c r="F26" i="3"/>
  <c r="G26" i="3"/>
  <c r="D28" i="3"/>
  <c r="E28" i="3"/>
  <c r="F28" i="3"/>
  <c r="G28" i="3"/>
  <c r="D30" i="3"/>
  <c r="E30" i="3"/>
  <c r="F30" i="3"/>
  <c r="G30" i="3"/>
  <c r="D32" i="3"/>
  <c r="E32" i="3"/>
  <c r="F32" i="3"/>
  <c r="G32" i="3"/>
  <c r="D34" i="3"/>
  <c r="E34" i="3"/>
  <c r="F34" i="3"/>
  <c r="G34" i="3"/>
  <c r="D36" i="3"/>
  <c r="E36" i="3"/>
  <c r="F36" i="3"/>
  <c r="G36" i="3"/>
  <c r="C34" i="3"/>
  <c r="C32" i="3"/>
  <c r="C30" i="3"/>
  <c r="C28" i="3"/>
  <c r="C26" i="3"/>
  <c r="C24" i="3"/>
  <c r="C20" i="3"/>
  <c r="C18" i="3"/>
  <c r="C16" i="3"/>
  <c r="C14" i="3"/>
  <c r="C12" i="3"/>
  <c r="C10" i="3"/>
  <c r="C8" i="3"/>
  <c r="G46" i="3"/>
  <c r="F46" i="3"/>
  <c r="E46" i="3"/>
  <c r="G54" i="3"/>
  <c r="F54" i="3"/>
  <c r="E54" i="3"/>
  <c r="D54" i="3"/>
  <c r="D52" i="3"/>
  <c r="G50" i="3"/>
  <c r="F50" i="3"/>
  <c r="E50" i="3"/>
  <c r="D50" i="3"/>
  <c r="G48" i="3"/>
  <c r="F48" i="3"/>
  <c r="E48" i="3"/>
  <c r="D48" i="3"/>
  <c r="D6" i="4"/>
  <c r="D6" i="3"/>
  <c r="G37" i="2" l="1"/>
  <c r="G38" i="2" s="1"/>
  <c r="C48" i="4"/>
  <c r="G12" i="2"/>
  <c r="G48" i="4" s="1"/>
  <c r="F12" i="2"/>
  <c r="F48" i="4" s="1"/>
  <c r="E12" i="2"/>
  <c r="E48" i="4" s="1"/>
  <c r="D12" i="2"/>
  <c r="D48" i="4" s="1"/>
  <c r="G27" i="2"/>
  <c r="G31" i="2" s="1"/>
  <c r="C23" i="2" s="1"/>
  <c r="C24" i="2" s="1"/>
  <c r="C55" i="2"/>
  <c r="C27" i="6" s="1"/>
  <c r="E46" i="7"/>
  <c r="F46" i="7" s="1"/>
  <c r="G46" i="7" s="1"/>
  <c r="C11" i="6"/>
  <c r="C14" i="6" s="1"/>
  <c r="E22" i="7"/>
  <c r="F22" i="7" s="1"/>
  <c r="G22" i="7" s="1"/>
  <c r="E9" i="7"/>
  <c r="F9" i="7" s="1"/>
  <c r="G9" i="7" s="1"/>
  <c r="C42" i="3"/>
  <c r="C36" i="3"/>
  <c r="G52" i="3"/>
  <c r="F52" i="3"/>
  <c r="E52" i="3"/>
  <c r="C22" i="3"/>
  <c r="C54" i="3"/>
  <c r="D46" i="3"/>
  <c r="C52" i="3"/>
  <c r="C50" i="3"/>
  <c r="C48" i="3"/>
  <c r="E6" i="4"/>
  <c r="F6" i="4" s="1"/>
  <c r="G6" i="4" s="1"/>
  <c r="E6" i="3"/>
  <c r="F6" i="3"/>
  <c r="G6" i="3" s="1"/>
  <c r="D9" i="2" l="1"/>
  <c r="E9" i="2" s="1"/>
  <c r="F9" i="2" s="1"/>
  <c r="G9" i="2" s="1"/>
  <c r="G46" i="4" s="1"/>
  <c r="C46" i="4"/>
  <c r="C8" i="4"/>
  <c r="C43" i="2"/>
  <c r="C12" i="9"/>
  <c r="C17" i="6"/>
  <c r="C21" i="6"/>
  <c r="C10" i="4" l="1"/>
  <c r="C12" i="4"/>
  <c r="C40" i="4"/>
  <c r="C26" i="7" s="1"/>
  <c r="D8" i="4"/>
  <c r="C30" i="4"/>
  <c r="D46" i="4"/>
  <c r="G16" i="6"/>
  <c r="C18" i="6"/>
  <c r="F46" i="4"/>
  <c r="E46" i="4"/>
  <c r="C14" i="4" l="1"/>
  <c r="C32" i="4"/>
  <c r="C24" i="7"/>
  <c r="E8" i="4"/>
  <c r="D40" i="4"/>
  <c r="D26" i="7" s="1"/>
  <c r="D12" i="4"/>
  <c r="D30" i="4"/>
  <c r="D10" i="4"/>
  <c r="D24" i="7" s="1"/>
  <c r="G17" i="6"/>
  <c r="C27" i="2"/>
  <c r="C20" i="6"/>
  <c r="E12" i="4"/>
  <c r="E10" i="4"/>
  <c r="E24" i="7" s="1"/>
  <c r="C50" i="4" l="1"/>
  <c r="C36" i="4"/>
  <c r="C27" i="7" s="1"/>
  <c r="E30" i="4"/>
  <c r="E40" i="4"/>
  <c r="E26" i="7" s="1"/>
  <c r="F8" i="4"/>
  <c r="D14" i="4"/>
  <c r="D32" i="4"/>
  <c r="D36" i="4" s="1"/>
  <c r="E32" i="4"/>
  <c r="E36" i="4" s="1"/>
  <c r="G19" i="6"/>
  <c r="G12" i="6" s="1"/>
  <c r="G21" i="6" s="1"/>
  <c r="E14" i="4"/>
  <c r="D27" i="7" l="1"/>
  <c r="E27" i="7"/>
  <c r="G8" i="4"/>
  <c r="F40" i="4"/>
  <c r="F26" i="7" s="1"/>
  <c r="F30" i="4"/>
  <c r="F10" i="4"/>
  <c r="F12" i="4"/>
  <c r="F32" i="4"/>
  <c r="F36" i="4" s="1"/>
  <c r="G12" i="4"/>
  <c r="G10" i="4"/>
  <c r="D50" i="4"/>
  <c r="E50" i="4"/>
  <c r="G30" i="4" l="1"/>
  <c r="G40" i="4"/>
  <c r="G26" i="7" s="1"/>
  <c r="F14" i="4"/>
  <c r="F50" i="4" s="1"/>
  <c r="F24" i="7"/>
  <c r="F27" i="7"/>
  <c r="G24" i="7"/>
  <c r="C11" i="9"/>
  <c r="C13" i="9" s="1"/>
  <c r="G32" i="4"/>
  <c r="G14" i="4"/>
  <c r="G50" i="4" l="1"/>
  <c r="G36" i="4"/>
  <c r="G27" i="7" s="1"/>
  <c r="G8" i="6"/>
  <c r="G9" i="6"/>
  <c r="G10" i="6" l="1"/>
  <c r="G11" i="9" s="1"/>
  <c r="G13" i="9" s="1"/>
  <c r="C33" i="2"/>
  <c r="C11" i="7"/>
  <c r="C32" i="2"/>
  <c r="C32" i="6"/>
  <c r="C55" i="7" s="1"/>
  <c r="D55" i="7" s="1"/>
  <c r="E55" i="7" s="1"/>
  <c r="F55" i="7" s="1"/>
  <c r="G55" i="7" s="1"/>
  <c r="C31" i="6"/>
  <c r="C43" i="7" l="1"/>
  <c r="C52" i="7"/>
  <c r="C25" i="6"/>
  <c r="C34" i="2"/>
  <c r="C49" i="7" l="1"/>
  <c r="D52" i="7"/>
  <c r="E52" i="7" s="1"/>
  <c r="F52" i="7" s="1"/>
  <c r="G52" i="7" s="1"/>
  <c r="C50" i="7" l="1"/>
  <c r="C13" i="7" s="1"/>
  <c r="C12" i="7"/>
  <c r="C16" i="4" s="1"/>
  <c r="C48" i="7"/>
  <c r="C18" i="4" l="1"/>
  <c r="C20" i="4" s="1"/>
  <c r="C25" i="7" s="1"/>
  <c r="C28" i="7"/>
  <c r="D49" i="7"/>
  <c r="D12" i="7" s="1"/>
  <c r="D16" i="4" s="1"/>
  <c r="C30" i="7" l="1"/>
  <c r="C22" i="4"/>
  <c r="C52" i="4" s="1"/>
  <c r="D18" i="4"/>
  <c r="D20" i="4" s="1"/>
  <c r="D25" i="7" s="1"/>
  <c r="D28" i="7"/>
  <c r="D48" i="7"/>
  <c r="C42" i="4" l="1"/>
  <c r="C14" i="7"/>
  <c r="C15" i="7" s="1"/>
  <c r="C34" i="7" s="1"/>
  <c r="C35" i="7" s="1"/>
  <c r="D22" i="4"/>
  <c r="D52" i="4" s="1"/>
  <c r="E49" i="7"/>
  <c r="E12" i="7" s="1"/>
  <c r="E16" i="4" s="1"/>
  <c r="D30" i="7"/>
  <c r="C38" i="4" l="1"/>
  <c r="C24" i="4" s="1"/>
  <c r="C17" i="7"/>
  <c r="C56" i="4"/>
  <c r="D11" i="7"/>
  <c r="D50" i="7" s="1"/>
  <c r="D13" i="7" s="1"/>
  <c r="E48" i="7"/>
  <c r="E18" i="4"/>
  <c r="E28" i="7"/>
  <c r="D14" i="7"/>
  <c r="D15" i="7" s="1"/>
  <c r="D34" i="7" s="1"/>
  <c r="D35" i="7" s="1"/>
  <c r="D42" i="4"/>
  <c r="C26" i="4" l="1"/>
  <c r="F49" i="7"/>
  <c r="F12" i="7" s="1"/>
  <c r="F16" i="4" s="1"/>
  <c r="D17" i="7"/>
  <c r="E20" i="4"/>
  <c r="E25" i="7" s="1"/>
  <c r="E30" i="7" s="1"/>
  <c r="D38" i="4"/>
  <c r="D24" i="4" s="1"/>
  <c r="D56" i="4"/>
  <c r="C28" i="4" l="1"/>
  <c r="C54" i="4"/>
  <c r="E11" i="7"/>
  <c r="E50" i="7" s="1"/>
  <c r="E13" i="7" s="1"/>
  <c r="D26" i="4"/>
  <c r="F28" i="7"/>
  <c r="F18" i="4"/>
  <c r="F48" i="7"/>
  <c r="E42" i="4"/>
  <c r="E14" i="7"/>
  <c r="E15" i="7" s="1"/>
  <c r="E34" i="7" s="1"/>
  <c r="E22" i="4"/>
  <c r="E52" i="4" s="1"/>
  <c r="D28" i="4" l="1"/>
  <c r="D54" i="4"/>
  <c r="F20" i="4"/>
  <c r="F25" i="7" s="1"/>
  <c r="F30" i="7" s="1"/>
  <c r="G49" i="7"/>
  <c r="G12" i="7" s="1"/>
  <c r="G16" i="4" s="1"/>
  <c r="E17" i="7"/>
  <c r="E56" i="4"/>
  <c r="E38" i="4"/>
  <c r="E24" i="4" s="1"/>
  <c r="E35" i="7"/>
  <c r="F42" i="4" l="1"/>
  <c r="F22" i="4"/>
  <c r="F52" i="4" s="1"/>
  <c r="F14" i="7"/>
  <c r="F15" i="7" s="1"/>
  <c r="F34" i="7" s="1"/>
  <c r="G48" i="7"/>
  <c r="F11" i="7"/>
  <c r="F50" i="7" s="1"/>
  <c r="F13" i="7" s="1"/>
  <c r="G18" i="4"/>
  <c r="G28" i="7"/>
  <c r="E26" i="4"/>
  <c r="F56" i="4" l="1"/>
  <c r="F35" i="7"/>
  <c r="F38" i="4"/>
  <c r="F24" i="4"/>
  <c r="G20" i="4"/>
  <c r="G25" i="7" s="1"/>
  <c r="G30" i="7" s="1"/>
  <c r="E28" i="4"/>
  <c r="E54" i="4"/>
  <c r="F17" i="7"/>
  <c r="G11" i="7" l="1"/>
  <c r="G50" i="7" s="1"/>
  <c r="G13" i="7" s="1"/>
  <c r="F26" i="4"/>
  <c r="G22" i="4"/>
  <c r="G52" i="4" s="1"/>
  <c r="G14" i="7"/>
  <c r="G15" i="7" s="1"/>
  <c r="G34" i="7" s="1"/>
  <c r="G42" i="4"/>
  <c r="G38" i="4"/>
  <c r="F28" i="4" l="1"/>
  <c r="F54" i="4"/>
  <c r="G24" i="4"/>
  <c r="C15" i="9" s="1"/>
  <c r="G17" i="7"/>
  <c r="G26" i="4" s="1"/>
  <c r="C14" i="9" s="1"/>
  <c r="G56" i="4"/>
  <c r="G35" i="7"/>
  <c r="C37" i="7" s="1"/>
  <c r="G28" i="4" l="1"/>
  <c r="G54" i="4"/>
  <c r="C16" i="9"/>
  <c r="C18" i="9" s="1"/>
  <c r="C21" i="9" l="1"/>
  <c r="G12" i="9"/>
  <c r="G14" i="9" l="1"/>
  <c r="G15" i="9"/>
  <c r="G20" i="9"/>
  <c r="B41" i="9" s="1"/>
  <c r="G17" i="9"/>
  <c r="B31" i="9" s="1"/>
</calcChain>
</file>

<file path=xl/sharedStrings.xml><?xml version="1.0" encoding="utf-8"?>
<sst xmlns="http://schemas.openxmlformats.org/spreadsheetml/2006/main" count="287" uniqueCount="195">
  <si>
    <t>Particulars</t>
  </si>
  <si>
    <t>Revenue</t>
  </si>
  <si>
    <t>Rev Growth %</t>
  </si>
  <si>
    <t>EBITDA</t>
  </si>
  <si>
    <t>EBITDA Margin %</t>
  </si>
  <si>
    <t>D &amp; A</t>
  </si>
  <si>
    <t>EBIT</t>
  </si>
  <si>
    <t>Interest Expense</t>
  </si>
  <si>
    <t>PBT</t>
  </si>
  <si>
    <t>Tax</t>
  </si>
  <si>
    <t>PAT</t>
  </si>
  <si>
    <t>PAT Margin %</t>
  </si>
  <si>
    <t>Cash</t>
  </si>
  <si>
    <t>Total Debt</t>
  </si>
  <si>
    <t>Net Debt</t>
  </si>
  <si>
    <t>Trade Receivables</t>
  </si>
  <si>
    <t>Trade Payables</t>
  </si>
  <si>
    <t>Inventory</t>
  </si>
  <si>
    <t>Net Working Capital</t>
  </si>
  <si>
    <t>CFO</t>
  </si>
  <si>
    <t>Capex</t>
  </si>
  <si>
    <t>Free Cash Flow</t>
  </si>
  <si>
    <t>Dividends Paid</t>
  </si>
  <si>
    <t>EBIT Margin %</t>
  </si>
  <si>
    <t>Debt / EBITDA</t>
  </si>
  <si>
    <t>FCF Conversion %</t>
  </si>
  <si>
    <t>Income Statement Metrics</t>
  </si>
  <si>
    <t>Balance Sheet Metrics</t>
  </si>
  <si>
    <t>Cash Flow Statement Metrics</t>
  </si>
  <si>
    <t>Key Ratios</t>
  </si>
  <si>
    <t>Kfin</t>
  </si>
  <si>
    <t>Actual Figures</t>
  </si>
  <si>
    <t>Operating Forecast</t>
  </si>
  <si>
    <t>Assumptions</t>
  </si>
  <si>
    <t>Transaction Assumption</t>
  </si>
  <si>
    <t>Entry EBITDA Multiple</t>
  </si>
  <si>
    <t>Exit EBITDA Multiple</t>
  </si>
  <si>
    <t>Holding Period (Yrs)</t>
  </si>
  <si>
    <t>Tax Rate</t>
  </si>
  <si>
    <t>Transaction Fees (% of EV)</t>
  </si>
  <si>
    <t>Assumption</t>
  </si>
  <si>
    <t>Value</t>
  </si>
  <si>
    <t>Revenue Forecast Assumption</t>
  </si>
  <si>
    <t>EBITDA Margin (%)</t>
  </si>
  <si>
    <t>D &amp; A Assumption</t>
  </si>
  <si>
    <t>EBITDA Margin Assumption</t>
  </si>
  <si>
    <t>D &amp; A (% of Rev)</t>
  </si>
  <si>
    <t>Capex Assumption</t>
  </si>
  <si>
    <t>Capex (% of Rev)</t>
  </si>
  <si>
    <t>Capital Structure Assumption</t>
  </si>
  <si>
    <t>Senior Debt (% of EV)</t>
  </si>
  <si>
    <t>Mezzanine Debt (% of EV)</t>
  </si>
  <si>
    <t>Sponsor Equity (% of EV)</t>
  </si>
  <si>
    <t>Interest Rate (%)</t>
  </si>
  <si>
    <t xml:space="preserve">Mandatory Amortization </t>
  </si>
  <si>
    <t>Cash Sweep (%)</t>
  </si>
  <si>
    <t>Exit Assumption</t>
  </si>
  <si>
    <t>Exit Year</t>
  </si>
  <si>
    <t>Return Hurdles</t>
  </si>
  <si>
    <t>Target IRR (%)</t>
  </si>
  <si>
    <t>Target MOIC (x)</t>
  </si>
  <si>
    <t>Sources = Uses</t>
  </si>
  <si>
    <t>N/A</t>
  </si>
  <si>
    <t>Metric (₹ Cr)</t>
  </si>
  <si>
    <t>FY21</t>
  </si>
  <si>
    <t>FY22</t>
  </si>
  <si>
    <t>FY23</t>
  </si>
  <si>
    <t>FY24</t>
  </si>
  <si>
    <t>FY25</t>
  </si>
  <si>
    <t>Revenue from Operations</t>
  </si>
  <si>
    <t>D&amp;A</t>
  </si>
  <si>
    <t>Interest Expense (Finance Costs)</t>
  </si>
  <si>
    <t>Tax (Current + Deferred)</t>
  </si>
  <si>
    <t>Cash &amp; Cash Equivalents</t>
  </si>
  <si>
    <t>Total Debt (Borrowings)</t>
  </si>
  <si>
    <t>Nil</t>
  </si>
  <si>
    <t>Net Working Capital (TR − TP)</t>
  </si>
  <si>
    <t>Capex (PP&amp;E + Intangibles)</t>
  </si>
  <si>
    <t>Free Cash Flow (CFO − Capex)</t>
  </si>
  <si>
    <t xml:space="preserve">Rev Growth (%) </t>
  </si>
  <si>
    <t>Metrics</t>
  </si>
  <si>
    <t>Share Price</t>
  </si>
  <si>
    <t>Shares Out.</t>
  </si>
  <si>
    <t>Market Cap.</t>
  </si>
  <si>
    <t>EV</t>
  </si>
  <si>
    <t>2025 EBITDA</t>
  </si>
  <si>
    <t>EBITDA Mul.</t>
  </si>
  <si>
    <t>2025 DSO</t>
  </si>
  <si>
    <t>2025 DPO</t>
  </si>
  <si>
    <t>Senior Debt</t>
  </si>
  <si>
    <t>Debt Schedule</t>
  </si>
  <si>
    <t>Opening Debt</t>
  </si>
  <si>
    <t>Interest Expenses</t>
  </si>
  <si>
    <t>Interest Rate</t>
  </si>
  <si>
    <t>FCF Available</t>
  </si>
  <si>
    <t>Debt Repayment</t>
  </si>
  <si>
    <t>Closing Debt</t>
  </si>
  <si>
    <t>Year 1</t>
  </si>
  <si>
    <t>Year 2</t>
  </si>
  <si>
    <t>Year 3</t>
  </si>
  <si>
    <t>Year 4</t>
  </si>
  <si>
    <t>Year 5</t>
  </si>
  <si>
    <t>Purchase Price Buildup</t>
  </si>
  <si>
    <t>Shares Outstanding</t>
  </si>
  <si>
    <t>Enterprise Value</t>
  </si>
  <si>
    <t>Less - Cash Acquired</t>
  </si>
  <si>
    <t>Add - Existing Debt</t>
  </si>
  <si>
    <t>Equity Purchase Price</t>
  </si>
  <si>
    <t>Total Purchase Price</t>
  </si>
  <si>
    <t>Add - Transaction Fees (%)</t>
  </si>
  <si>
    <t>Equity Value</t>
  </si>
  <si>
    <t>Sources</t>
  </si>
  <si>
    <t>Amount</t>
  </si>
  <si>
    <t>Mezz Debt</t>
  </si>
  <si>
    <t>Sponsor Equity</t>
  </si>
  <si>
    <t>Total Sources</t>
  </si>
  <si>
    <t>Uses</t>
  </si>
  <si>
    <t>Fees</t>
  </si>
  <si>
    <t>Total Uses</t>
  </si>
  <si>
    <t>Sponsor E. % Total Sources</t>
  </si>
  <si>
    <t>Sen. Debt % FCF</t>
  </si>
  <si>
    <t>Mezz Debt % FCF</t>
  </si>
  <si>
    <t>Sen. Debt Interest</t>
  </si>
  <si>
    <t xml:space="preserve">Mezz Debt Interest </t>
  </si>
  <si>
    <t xml:space="preserve">Mezz Debt </t>
  </si>
  <si>
    <t>Less: Taxes</t>
  </si>
  <si>
    <t>Less: Capex</t>
  </si>
  <si>
    <t>Less: Increase in NWC</t>
  </si>
  <si>
    <t>Less: Interest</t>
  </si>
  <si>
    <t>Cash Used for Repayment</t>
  </si>
  <si>
    <t>Cash Retained</t>
  </si>
  <si>
    <t>Cash retained after paying of all debt in 5 years</t>
  </si>
  <si>
    <t>Debt Schedule &amp; Cash Sweep</t>
  </si>
  <si>
    <t>Cash Sweep</t>
  </si>
  <si>
    <t>Min Interest Coverage Ratio</t>
  </si>
  <si>
    <t>Max debt to be raised</t>
  </si>
  <si>
    <t>Diluted Interest Rate</t>
  </si>
  <si>
    <t>Total debt to be raised</t>
  </si>
  <si>
    <t>Interest Payment Plan</t>
  </si>
  <si>
    <t>Total interest to be paid in next 5 years</t>
  </si>
  <si>
    <t>Interest Paid</t>
  </si>
  <si>
    <t>Interest Remaining</t>
  </si>
  <si>
    <t>S.D Debt Interest Paid</t>
  </si>
  <si>
    <t>M.D Debt Interest Paid</t>
  </si>
  <si>
    <t>S.D Debt Int. Remaining</t>
  </si>
  <si>
    <t>M.D Debt Int. Remaining</t>
  </si>
  <si>
    <t>Interest Rate Paid</t>
  </si>
  <si>
    <t>Item</t>
  </si>
  <si>
    <t>Exit Analysis</t>
  </si>
  <si>
    <t>Exit EBITDA</t>
  </si>
  <si>
    <t>Total Debt Outstanding</t>
  </si>
  <si>
    <t>Cash Balance</t>
  </si>
  <si>
    <t>Sponsor Ownership</t>
  </si>
  <si>
    <t>Sponsor Equity Proceeds</t>
  </si>
  <si>
    <t>Entry Equity Investment</t>
  </si>
  <si>
    <t>Exist Equity Value</t>
  </si>
  <si>
    <t>Money Invested</t>
  </si>
  <si>
    <t>Money Returned</t>
  </si>
  <si>
    <t>Gain / Profit</t>
  </si>
  <si>
    <t>IRR</t>
  </si>
  <si>
    <t>MOIC</t>
  </si>
  <si>
    <t>Exit / Gain Analysis &amp; Sensitivity</t>
  </si>
  <si>
    <t>Returns / Gain Analysis</t>
  </si>
  <si>
    <t>Sensitivity Analysis</t>
  </si>
  <si>
    <t>Holding Period</t>
  </si>
  <si>
    <t>Number of Holding Period</t>
  </si>
  <si>
    <t>Internal Rate of Return</t>
  </si>
  <si>
    <t>Multiple of Invested Cap.</t>
  </si>
  <si>
    <t>Scenario Change</t>
  </si>
  <si>
    <t>Revenue growth is estimated in 3 cases (bull, base and bear), to get realistic view. Historical data indicates clear trend for ebitda margin, D&amp;A % of Rev and Capex % of Rev hence evaluation by considering cases is not strictly required. It can also be noticed that exit EBITDA Multiple is same as entry EBITDA Multiple, it is taken into consideration since industry average for EBITDA Multiple is around 34x therefore we are well within its limit. Our target IRR is 20% + and MOIC is 3x +, specific assumptions are made because it is industry norm. also by using formula EBITDA / Min interest coverage ratio * Diluted interest rate we can raise max debt upto 2714 crores. Also min interest c.r. is taken as 2x since its what considerd by lenders.</t>
  </si>
  <si>
    <t>This schedule presents the purchase price buildup and financing assumptions underlying the leveraged buyout transaction. The acquisition is based on a share price of ₹848 and 17 crore shares outstanding, resulting in an implied market capitalization of ₹14,653 crore. After adjusting for net cash of ₹23 crore, the enterprise value is calculated at ₹14,630 crore. The model then derives an equity purchase price of ₹14,607 crore and incorporates transaction fees of ₹292 crore, leading to a total purchase consideration of ₹14,899 crore. To finance the acquisition, the model assumes total debt funding of ₹2,714 crore, comprising 95% senior debt and 5% mezzanine debt. This translates into ₹2,579 crore of senior debt and ₹136 crore of mezzanine debt. The financing structure applies interest rates of 9.0% and 14.0% to senior and mezzanine debt respectively, reflecting their differing risk profiles. Overall, the assumptions indicate disciplined leverage, with sponsor equity remaining the primary source of funding.</t>
  </si>
  <si>
    <t>The Sources and Uses schedule is a critical component of the leveraged buyout model, as it outlines how the acquisition will be financed and where the funds will be deployed. The schedule shows total sources of ₹14,899 crore, which exactly match total uses of ₹14,899 crore, confirming that the transaction is fully funded and financially balanced. This equality between sources and uses is essential in any LBO transaction, as it ensures that all acquisition-related costs are adequately financed without creating a funding gap. The financing structure consists of ₹2,579 crore of senior debt, ₹136 crore of mezzanine debt, and ₹12,185 crore of sponsor equity. Sponsor equity accounts for approximately 81.8% of total funding, while debt contributes the remaining 18.2%. This indicates a relatively conservative leverage profile compared to traditional buyouts, where debt typically forms a larger portion of the capital structure. A higher equity contribution reduces financial risk, lowers interest burden, and provides greater flexibility for management to execute growth initiatives after the acquisition.
On the uses side, ₹14,607 crore is allocated toward the equity purchase price of the target company, representing the primary cash outflow of the transaction. The remaining ₹292 crore is reserved for transaction-related expenses, including advisory, legal, financing, and due diligence fees. Overall, the schedule demonstrates a well-structured acquisition financing plan with prudent leverage, strong equity backing, and sufficient funding to cover all transaction requirements.</t>
  </si>
  <si>
    <t>The investment generates progressively stronger returns across all holding periods, with Year 1 delivering modest value creation and Years 2–4 benefiting from continued EBITDA growth and deleveraging. The 5-year exit scenario produces the highest equity value, 2.54x MOIC, 20.52% IRR, and overall sponsor returns, making it the most attractive holding period.</t>
  </si>
  <si>
    <t>Prepared By - Sharwin Wagh</t>
  </si>
  <si>
    <t>CAGR Rev (Bull)</t>
  </si>
  <si>
    <t>CAGR Rev (Base)</t>
  </si>
  <si>
    <t>CAGR Rev (Bear)</t>
  </si>
  <si>
    <t>LBO Model</t>
  </si>
  <si>
    <t>Leveraged Buyout Model</t>
  </si>
  <si>
    <t>Kfin Technologies</t>
  </si>
  <si>
    <t>Entry structuring, capital stack, debt paydown &amp; exit returns</t>
  </si>
  <si>
    <t>Exit IRR</t>
  </si>
  <si>
    <t>Sponsor Equity (% of Total Sources)</t>
  </si>
  <si>
    <t>29.13x</t>
  </si>
  <si>
    <t>5 Years</t>
  </si>
  <si>
    <t>2.54x</t>
  </si>
  <si>
    <t>This model presents a complete leveraged buyout analysis of Kfin Technologies, covering the purchase price buildup, sources and uses of funds, capital structure, debt schedule with cash sweep, and exit returns analysis with IRR and MOIC sensitivity across 5 year holding period.</t>
  </si>
  <si>
    <t>Table of Contents</t>
  </si>
  <si>
    <t>Assumption (Revenue, Margin, Capital Structure and Return Hurdle Assumption)</t>
  </si>
  <si>
    <t>Actual Figures ( Historical P&amp;L, Balance Sheet, Cash Flow Statement)</t>
  </si>
  <si>
    <t>Purchase Price Buildup ( Sources and Uses of Funds)</t>
  </si>
  <si>
    <t>Debt Schedule and Cash Sweep ( Debt Paydown, Interest Paydown Plan)</t>
  </si>
  <si>
    <t>Exit / Gain Analysis and Sensitivity</t>
  </si>
  <si>
    <t xml:space="preserve">This leveraged buyout model and all accompanying analysis, projections, and figures relating to KFin Technologies have been prepared solely for educational and illustrative purposes. The assumptions, forecasts, and valuation outputs presented are based on simplified modelling techniques and publicly available information, and do not represent investment recommendations, research coverage, or professional financial advice. Nothing in this document should be interpreted as a solicitation to buy, sell, or hold any security. Readers are strongly encouraged to conduct independent due diligence and consult a qualified, licensed financial advisor before making any investment decisions. </t>
  </si>
  <si>
    <t>Operating Forecast (Projected Financials and Key Ratios)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</si>
</sst>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0\);&quot;--&quot;"/>
    <numFmt numFmtId="165" formatCode="0.00\x"/>
    <numFmt numFmtId="166" formatCode="#,##0_);\(#,##0\)\:&quot;--&quot;"/>
  </numFmts>
  <fonts count="21">
    <font>
      <sz val="11"/>
      <color theme="1"/>
      <name val="Calibri"/>
      <family val="2"/>
      <scheme val="minor"/>
    </font>
    <font>
      <i/>
      <sz val="11"/>
      <color rgb="FF7F7F7F"/>
      <name val="Calibri"/>
      <family val="2"/>
      <scheme val="minor"/>
    </font>
    <font>
      <sz val="12"/>
      <color theme="1"/>
      <name val="Times New Roman"/>
      <family val="1"/>
    </font>
    <font>
      <sz val="40"/>
      <color theme="1"/>
      <name val="Times New Roman"/>
      <family val="1"/>
    </font>
    <font>
      <sz val="30"/>
      <color theme="1"/>
      <name val="Times New Roman"/>
      <family val="1"/>
    </font>
    <font>
      <sz val="12"/>
      <color rgb="FF0070C0"/>
      <name val="Times New Roman"/>
      <family val="1"/>
    </font>
    <font>
      <b/>
      <sz val="11"/>
      <color theme="1"/>
      <name val="Calibri"/>
      <family val="2"/>
      <scheme val="minor"/>
    </font>
    <font>
      <sz val="11"/>
      <color rgb="FF606F7B"/>
      <name val="Arial"/>
      <family val="2"/>
    </font>
    <font>
      <sz val="11"/>
      <color rgb="FF22222F"/>
      <name val="Arial"/>
      <family val="2"/>
    </font>
    <font>
      <sz val="11"/>
      <color rgb="FF22222F"/>
      <name val="Arial"/>
      <family val="2"/>
    </font>
    <font>
      <sz val="11"/>
      <color theme="1"/>
      <name val="Calibri"/>
      <family val="2"/>
      <scheme val="minor"/>
    </font>
    <font>
      <sz val="20"/>
      <color theme="1"/>
      <name val="Times New Roman"/>
      <family val="1"/>
    </font>
    <font>
      <sz val="15"/>
      <color theme="1"/>
      <name val="Times New Roman"/>
      <family val="1"/>
    </font>
    <font>
      <b/>
      <sz val="11"/>
      <color theme="3"/>
      <name val="Calibri"/>
      <family val="2"/>
      <scheme val="minor"/>
    </font>
    <font>
      <b/>
      <sz val="11"/>
      <color rgb="FF3F3F3F"/>
      <name val="Calibri"/>
      <family val="2"/>
      <scheme val="minor"/>
    </font>
    <font>
      <sz val="12"/>
      <color theme="1"/>
      <name val="S15"/>
    </font>
    <font>
      <sz val="12"/>
      <color theme="0"/>
      <name val="Times New Roman"/>
      <family val="1"/>
    </font>
    <font>
      <sz val="12"/>
      <color rgb="FF3F3F3F"/>
      <name val="Times New Roman"/>
      <family val="1"/>
    </font>
    <font>
      <u/>
      <sz val="12"/>
      <color theme="1"/>
      <name val="Times New Roman"/>
      <family val="1"/>
    </font>
    <font>
      <sz val="50"/>
      <color theme="1"/>
      <name val="Times New Roman"/>
      <family val="1"/>
    </font>
    <font>
      <i/>
      <sz val="20"/>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CC"/>
      </patternFill>
    </fill>
    <fill>
      <patternFill patternType="solid">
        <fgColor theme="0" tint="-4.9989318521683403E-2"/>
        <bgColor indexed="64"/>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style="thin">
        <color indexed="64"/>
      </top>
      <bottom/>
      <diagonal/>
    </border>
  </borders>
  <cellStyleXfs count="5">
    <xf numFmtId="0" fontId="0" fillId="0" borderId="0"/>
    <xf numFmtId="0" fontId="1" fillId="0" borderId="0" applyNumberFormat="0" applyFill="0" applyBorder="0" applyAlignment="0" applyProtection="0"/>
    <xf numFmtId="0" fontId="10" fillId="4" borderId="13" applyNumberFormat="0" applyFont="0" applyAlignment="0" applyProtection="0"/>
    <xf numFmtId="0" fontId="13" fillId="0" borderId="15" applyNumberFormat="0" applyFill="0" applyAlignment="0" applyProtection="0"/>
    <xf numFmtId="0" fontId="14" fillId="6" borderId="16" applyNumberFormat="0" applyAlignment="0" applyProtection="0"/>
  </cellStyleXfs>
  <cellXfs count="189">
    <xf numFmtId="0" fontId="0" fillId="0" borderId="0" xfId="0"/>
    <xf numFmtId="164" fontId="2" fillId="2" borderId="0" xfId="0" applyNumberFormat="1" applyFont="1" applyFill="1"/>
    <xf numFmtId="164" fontId="2" fillId="2" borderId="2" xfId="0" applyNumberFormat="1" applyFont="1" applyFill="1" applyBorder="1"/>
    <xf numFmtId="164" fontId="2" fillId="2" borderId="3" xfId="0" applyNumberFormat="1" applyFont="1" applyFill="1" applyBorder="1"/>
    <xf numFmtId="164" fontId="2" fillId="2" borderId="4" xfId="0" applyNumberFormat="1" applyFont="1" applyFill="1" applyBorder="1"/>
    <xf numFmtId="0" fontId="2" fillId="2" borderId="1" xfId="0" applyFont="1" applyFill="1" applyBorder="1"/>
    <xf numFmtId="164" fontId="2" fillId="2" borderId="1" xfId="0" applyNumberFormat="1" applyFont="1" applyFill="1" applyBorder="1"/>
    <xf numFmtId="164" fontId="2" fillId="2" borderId="5" xfId="0" applyNumberFormat="1" applyFont="1" applyFill="1" applyBorder="1"/>
    <xf numFmtId="164" fontId="2" fillId="2" borderId="6" xfId="0" applyNumberFormat="1" applyFont="1" applyFill="1" applyBorder="1"/>
    <xf numFmtId="164" fontId="2" fillId="2" borderId="7" xfId="0" applyNumberFormat="1" applyFont="1" applyFill="1" applyBorder="1"/>
    <xf numFmtId="164" fontId="1" fillId="2" borderId="0" xfId="1" applyNumberFormat="1" applyFill="1"/>
    <xf numFmtId="164" fontId="1" fillId="2" borderId="0" xfId="1" applyNumberFormat="1" applyFill="1" applyAlignment="1">
      <alignment horizontal="left"/>
    </xf>
    <xf numFmtId="0" fontId="2" fillId="2" borderId="0" xfId="0" applyFont="1" applyFill="1"/>
    <xf numFmtId="164" fontId="2" fillId="2" borderId="10" xfId="0" applyNumberFormat="1" applyFont="1" applyFill="1" applyBorder="1"/>
    <xf numFmtId="164" fontId="2" fillId="2" borderId="11" xfId="0" applyNumberFormat="1" applyFont="1" applyFill="1" applyBorder="1"/>
    <xf numFmtId="164" fontId="1" fillId="2" borderId="0" xfId="1" applyNumberFormat="1" applyFill="1" applyBorder="1"/>
    <xf numFmtId="164" fontId="2" fillId="2" borderId="0" xfId="0" applyNumberFormat="1" applyFont="1" applyFill="1" applyAlignment="1">
      <alignment horizontal="right"/>
    </xf>
    <xf numFmtId="164" fontId="2" fillId="2" borderId="12" xfId="0" applyNumberFormat="1" applyFont="1" applyFill="1" applyBorder="1" applyAlignment="1">
      <alignment horizontal="right"/>
    </xf>
    <xf numFmtId="164" fontId="2" fillId="2" borderId="10" xfId="0" applyNumberFormat="1" applyFont="1" applyFill="1" applyBorder="1" applyAlignment="1">
      <alignment horizontal="right"/>
    </xf>
    <xf numFmtId="0" fontId="2" fillId="2" borderId="8" xfId="0" applyFont="1" applyFill="1" applyBorder="1" applyAlignment="1">
      <alignment horizontal="right"/>
    </xf>
    <xf numFmtId="164" fontId="2" fillId="2" borderId="2" xfId="0" applyNumberFormat="1" applyFont="1" applyFill="1" applyBorder="1" applyAlignment="1">
      <alignment horizontal="right"/>
    </xf>
    <xf numFmtId="10" fontId="2" fillId="2" borderId="3" xfId="0" applyNumberFormat="1" applyFont="1" applyFill="1" applyBorder="1"/>
    <xf numFmtId="10" fontId="2" fillId="2" borderId="4" xfId="0" applyNumberFormat="1" applyFont="1" applyFill="1" applyBorder="1"/>
    <xf numFmtId="10" fontId="2" fillId="2" borderId="2" xfId="0" applyNumberFormat="1" applyFont="1" applyFill="1" applyBorder="1"/>
    <xf numFmtId="17" fontId="7" fillId="2" borderId="0" xfId="0" applyNumberFormat="1" applyFont="1" applyFill="1" applyAlignment="1">
      <alignment vertical="center" wrapText="1"/>
    </xf>
    <xf numFmtId="0" fontId="0" fillId="2" borderId="0" xfId="0" applyFill="1"/>
    <xf numFmtId="0" fontId="8" fillId="2" borderId="0" xfId="0" applyFont="1" applyFill="1" applyAlignment="1">
      <alignment vertical="center" wrapText="1"/>
    </xf>
    <xf numFmtId="3" fontId="8" fillId="2" borderId="0" xfId="0" applyNumberFormat="1" applyFont="1" applyFill="1" applyAlignment="1">
      <alignment vertical="center" wrapText="1"/>
    </xf>
    <xf numFmtId="0" fontId="9" fillId="2" borderId="0" xfId="0" applyFont="1" applyFill="1" applyAlignment="1">
      <alignment vertical="center"/>
    </xf>
    <xf numFmtId="0" fontId="9" fillId="2" borderId="0" xfId="0" applyFont="1" applyFill="1" applyAlignment="1">
      <alignment vertical="center" wrapText="1"/>
    </xf>
    <xf numFmtId="10" fontId="9" fillId="2" borderId="0" xfId="0" applyNumberFormat="1" applyFont="1" applyFill="1" applyAlignment="1">
      <alignment vertical="center" wrapText="1"/>
    </xf>
    <xf numFmtId="9" fontId="9" fillId="2" borderId="0" xfId="0" applyNumberFormat="1" applyFont="1" applyFill="1" applyAlignment="1">
      <alignment vertical="center" wrapText="1"/>
    </xf>
    <xf numFmtId="0" fontId="6" fillId="2" borderId="0" xfId="0" applyFont="1" applyFill="1" applyAlignment="1">
      <alignment horizontal="left" vertical="center" wrapText="1"/>
    </xf>
    <xf numFmtId="0" fontId="6" fillId="2" borderId="0" xfId="0" applyFont="1" applyFill="1" applyAlignment="1">
      <alignment horizontal="right" vertical="center" wrapText="1"/>
    </xf>
    <xf numFmtId="0" fontId="0" fillId="2" borderId="0" xfId="0" applyFill="1" applyAlignment="1">
      <alignment horizontal="left" vertical="center" wrapText="1"/>
    </xf>
    <xf numFmtId="0" fontId="0" fillId="2" borderId="0" xfId="0" applyFill="1" applyAlignment="1">
      <alignment horizontal="right" vertical="center" wrapText="1"/>
    </xf>
    <xf numFmtId="4" fontId="0" fillId="2" borderId="0" xfId="0" applyNumberFormat="1" applyFill="1" applyAlignment="1">
      <alignment horizontal="right" vertical="center" wrapText="1"/>
    </xf>
    <xf numFmtId="164" fontId="2" fillId="2" borderId="3" xfId="0" applyNumberFormat="1" applyFont="1" applyFill="1" applyBorder="1" applyAlignment="1">
      <alignment horizontal="right"/>
    </xf>
    <xf numFmtId="10" fontId="2" fillId="2" borderId="1" xfId="0" applyNumberFormat="1" applyFont="1" applyFill="1" applyBorder="1"/>
    <xf numFmtId="10" fontId="5" fillId="2" borderId="1" xfId="0" applyNumberFormat="1" applyFont="1" applyFill="1" applyBorder="1"/>
    <xf numFmtId="164" fontId="5" fillId="2" borderId="0" xfId="0" applyNumberFormat="1" applyFont="1" applyFill="1"/>
    <xf numFmtId="10" fontId="5" fillId="2" borderId="0" xfId="0" applyNumberFormat="1" applyFont="1" applyFill="1"/>
    <xf numFmtId="10" fontId="2" fillId="2" borderId="0" xfId="0" applyNumberFormat="1" applyFont="1" applyFill="1"/>
    <xf numFmtId="164" fontId="2" fillId="2" borderId="1" xfId="0" applyNumberFormat="1" applyFont="1" applyFill="1" applyBorder="1" applyAlignment="1">
      <alignment horizontal="right"/>
    </xf>
    <xf numFmtId="165" fontId="2" fillId="2" borderId="9" xfId="0" applyNumberFormat="1" applyFont="1" applyFill="1" applyBorder="1" applyAlignment="1">
      <alignment horizontal="right"/>
    </xf>
    <xf numFmtId="164" fontId="5" fillId="2" borderId="9" xfId="0" applyNumberFormat="1" applyFont="1" applyFill="1" applyBorder="1" applyAlignment="1">
      <alignment horizontal="right"/>
    </xf>
    <xf numFmtId="164" fontId="5" fillId="2" borderId="12" xfId="0" applyNumberFormat="1" applyFont="1" applyFill="1" applyBorder="1" applyAlignment="1">
      <alignment horizontal="right"/>
    </xf>
    <xf numFmtId="10" fontId="2" fillId="2" borderId="12" xfId="0" applyNumberFormat="1" applyFont="1" applyFill="1" applyBorder="1" applyAlignment="1">
      <alignment horizontal="right"/>
    </xf>
    <xf numFmtId="10" fontId="5" fillId="2" borderId="12" xfId="0" applyNumberFormat="1" applyFont="1" applyFill="1" applyBorder="1" applyAlignment="1">
      <alignment horizontal="right"/>
    </xf>
    <xf numFmtId="165" fontId="2" fillId="2" borderId="12" xfId="0" applyNumberFormat="1" applyFont="1" applyFill="1" applyBorder="1" applyAlignment="1">
      <alignment horizontal="right"/>
    </xf>
    <xf numFmtId="2" fontId="2" fillId="2" borderId="0" xfId="0" applyNumberFormat="1" applyFont="1" applyFill="1"/>
    <xf numFmtId="165" fontId="2" fillId="2" borderId="3" xfId="0" applyNumberFormat="1" applyFont="1" applyFill="1" applyBorder="1"/>
    <xf numFmtId="10" fontId="2" fillId="2" borderId="9" xfId="0" applyNumberFormat="1" applyFont="1" applyFill="1" applyBorder="1" applyAlignment="1">
      <alignment horizontal="right"/>
    </xf>
    <xf numFmtId="165" fontId="2" fillId="2" borderId="4" xfId="0" applyNumberFormat="1" applyFont="1" applyFill="1" applyBorder="1" applyAlignment="1">
      <alignment horizontal="right"/>
    </xf>
    <xf numFmtId="164" fontId="2" fillId="2" borderId="9" xfId="0" applyNumberFormat="1" applyFont="1" applyFill="1" applyBorder="1"/>
    <xf numFmtId="164" fontId="2" fillId="2" borderId="12" xfId="0" applyNumberFormat="1" applyFont="1" applyFill="1" applyBorder="1"/>
    <xf numFmtId="164" fontId="2" fillId="4" borderId="13" xfId="2" applyNumberFormat="1" applyFont="1"/>
    <xf numFmtId="165" fontId="2" fillId="4" borderId="13" xfId="2" applyNumberFormat="1" applyFont="1"/>
    <xf numFmtId="0" fontId="2" fillId="2" borderId="1" xfId="0" applyFont="1" applyFill="1" applyBorder="1" applyAlignment="1">
      <alignment horizontal="right"/>
    </xf>
    <xf numFmtId="10" fontId="2" fillId="2" borderId="10" xfId="0" applyNumberFormat="1" applyFont="1" applyFill="1" applyBorder="1"/>
    <xf numFmtId="165" fontId="2" fillId="2" borderId="4" xfId="0" applyNumberFormat="1" applyFont="1" applyFill="1" applyBorder="1"/>
    <xf numFmtId="0" fontId="2" fillId="2" borderId="11" xfId="0" applyFont="1" applyFill="1" applyBorder="1"/>
    <xf numFmtId="0" fontId="2" fillId="2" borderId="9" xfId="0" applyFont="1" applyFill="1" applyBorder="1"/>
    <xf numFmtId="0" fontId="2" fillId="2" borderId="10" xfId="0" applyFont="1" applyFill="1" applyBorder="1"/>
    <xf numFmtId="0" fontId="2" fillId="2" borderId="5" xfId="0" applyFont="1" applyFill="1" applyBorder="1"/>
    <xf numFmtId="0" fontId="2" fillId="2" borderId="7" xfId="0" applyFont="1" applyFill="1" applyBorder="1"/>
    <xf numFmtId="0" fontId="2" fillId="2" borderId="2" xfId="0" applyFont="1" applyFill="1" applyBorder="1"/>
    <xf numFmtId="0" fontId="2" fillId="2" borderId="4" xfId="0" applyFont="1" applyFill="1" applyBorder="1"/>
    <xf numFmtId="0" fontId="2" fillId="2" borderId="8" xfId="0" applyFont="1" applyFill="1" applyBorder="1"/>
    <xf numFmtId="0" fontId="2" fillId="2" borderId="12" xfId="0" applyFont="1" applyFill="1" applyBorder="1"/>
    <xf numFmtId="0" fontId="2" fillId="2" borderId="6" xfId="0" applyFont="1" applyFill="1" applyBorder="1"/>
    <xf numFmtId="0" fontId="2" fillId="2" borderId="3" xfId="0" applyFont="1" applyFill="1" applyBorder="1"/>
    <xf numFmtId="0" fontId="1" fillId="2" borderId="0" xfId="1" applyFill="1"/>
    <xf numFmtId="10" fontId="2" fillId="2" borderId="12" xfId="0" applyNumberFormat="1" applyFont="1" applyFill="1" applyBorder="1"/>
    <xf numFmtId="10" fontId="2" fillId="2" borderId="10" xfId="0" applyNumberFormat="1" applyFont="1" applyFill="1" applyBorder="1" applyAlignment="1">
      <alignment horizontal="right"/>
    </xf>
    <xf numFmtId="164" fontId="2" fillId="2" borderId="8" xfId="0" applyNumberFormat="1" applyFont="1" applyFill="1" applyBorder="1"/>
    <xf numFmtId="10" fontId="2" fillId="4" borderId="13" xfId="2" applyNumberFormat="1" applyFont="1"/>
    <xf numFmtId="10" fontId="2" fillId="2" borderId="8" xfId="0" applyNumberFormat="1" applyFont="1" applyFill="1" applyBorder="1"/>
    <xf numFmtId="166" fontId="2" fillId="2" borderId="8" xfId="0" applyNumberFormat="1" applyFont="1" applyFill="1" applyBorder="1"/>
    <xf numFmtId="166" fontId="2" fillId="2" borderId="10" xfId="0" applyNumberFormat="1" applyFont="1" applyFill="1" applyBorder="1"/>
    <xf numFmtId="166" fontId="2" fillId="2" borderId="3" xfId="0" applyNumberFormat="1" applyFont="1" applyFill="1" applyBorder="1"/>
    <xf numFmtId="166" fontId="2" fillId="2" borderId="0" xfId="0" applyNumberFormat="1" applyFont="1" applyFill="1"/>
    <xf numFmtId="0" fontId="2" fillId="2" borderId="14" xfId="0" applyFont="1" applyFill="1" applyBorder="1"/>
    <xf numFmtId="164" fontId="2" fillId="2" borderId="8" xfId="0" applyNumberFormat="1" applyFont="1" applyFill="1" applyBorder="1" applyAlignment="1">
      <alignment horizontal="right"/>
    </xf>
    <xf numFmtId="164" fontId="2" fillId="2" borderId="0" xfId="0" applyNumberFormat="1" applyFont="1" applyFill="1" applyAlignment="1">
      <alignment horizontal="left"/>
    </xf>
    <xf numFmtId="165" fontId="2" fillId="2" borderId="3" xfId="0" applyNumberFormat="1" applyFont="1" applyFill="1" applyBorder="1" applyAlignment="1">
      <alignment horizontal="left"/>
    </xf>
    <xf numFmtId="165" fontId="2" fillId="2" borderId="4" xfId="0" applyNumberFormat="1" applyFont="1" applyFill="1" applyBorder="1" applyAlignment="1">
      <alignment horizontal="left"/>
    </xf>
    <xf numFmtId="10" fontId="16" fillId="2" borderId="2" xfId="0" applyNumberFormat="1" applyFont="1" applyFill="1" applyBorder="1" applyAlignment="1">
      <alignment horizontal="left"/>
    </xf>
    <xf numFmtId="165" fontId="2" fillId="2" borderId="12" xfId="0" applyNumberFormat="1" applyFont="1" applyFill="1" applyBorder="1"/>
    <xf numFmtId="165" fontId="2" fillId="2" borderId="10" xfId="0" applyNumberFormat="1" applyFont="1" applyFill="1" applyBorder="1"/>
    <xf numFmtId="165" fontId="16" fillId="2" borderId="2" xfId="0" applyNumberFormat="1" applyFont="1" applyFill="1" applyBorder="1" applyAlignment="1">
      <alignment horizontal="left"/>
    </xf>
    <xf numFmtId="164" fontId="2" fillId="2" borderId="0" xfId="2" applyNumberFormat="1" applyFont="1" applyFill="1" applyBorder="1"/>
    <xf numFmtId="10" fontId="2" fillId="2" borderId="0" xfId="2" applyNumberFormat="1" applyFont="1" applyFill="1" applyBorder="1"/>
    <xf numFmtId="164" fontId="17" fillId="6" borderId="16" xfId="4" applyNumberFormat="1" applyFont="1"/>
    <xf numFmtId="164" fontId="18" fillId="2" borderId="0" xfId="3" applyNumberFormat="1" applyFont="1" applyFill="1" applyBorder="1"/>
    <xf numFmtId="10" fontId="5" fillId="2" borderId="10" xfId="0" applyNumberFormat="1" applyFont="1" applyFill="1" applyBorder="1"/>
    <xf numFmtId="0" fontId="5" fillId="2" borderId="9" xfId="0" applyFont="1" applyFill="1" applyBorder="1" applyAlignment="1">
      <alignment horizontal="right"/>
    </xf>
    <xf numFmtId="10" fontId="5" fillId="2" borderId="9" xfId="0" applyNumberFormat="1" applyFont="1" applyFill="1" applyBorder="1" applyAlignment="1">
      <alignment horizontal="right"/>
    </xf>
    <xf numFmtId="165" fontId="5" fillId="2" borderId="4" xfId="0" applyNumberFormat="1" applyFont="1" applyFill="1" applyBorder="1"/>
    <xf numFmtId="165" fontId="5" fillId="2" borderId="1" xfId="0" applyNumberFormat="1" applyFont="1" applyFill="1" applyBorder="1"/>
    <xf numFmtId="10" fontId="5" fillId="2" borderId="9" xfId="0" applyNumberFormat="1" applyFont="1" applyFill="1" applyBorder="1"/>
    <xf numFmtId="10" fontId="5" fillId="2" borderId="12" xfId="0" applyNumberFormat="1" applyFont="1" applyFill="1" applyBorder="1"/>
    <xf numFmtId="10" fontId="5" fillId="2" borderId="3" xfId="0" applyNumberFormat="1" applyFont="1" applyFill="1" applyBorder="1"/>
    <xf numFmtId="10" fontId="5" fillId="2" borderId="4" xfId="0" applyNumberFormat="1" applyFont="1" applyFill="1" applyBorder="1"/>
    <xf numFmtId="164" fontId="2" fillId="2" borderId="14" xfId="0" applyNumberFormat="1" applyFont="1" applyFill="1" applyBorder="1"/>
    <xf numFmtId="164" fontId="2" fillId="2" borderId="0" xfId="0" applyNumberFormat="1" applyFont="1" applyFill="1" applyAlignment="1">
      <alignment wrapText="1"/>
    </xf>
    <xf numFmtId="164" fontId="2" fillId="2" borderId="0" xfId="0" applyNumberFormat="1" applyFont="1" applyFill="1" applyAlignment="1">
      <alignment vertical="center" wrapText="1"/>
    </xf>
    <xf numFmtId="164" fontId="2" fillId="2" borderId="14" xfId="0" applyNumberFormat="1" applyFont="1" applyFill="1" applyBorder="1" applyAlignment="1">
      <alignment vertical="center" wrapText="1"/>
    </xf>
    <xf numFmtId="164" fontId="19" fillId="2" borderId="0" xfId="0" applyNumberFormat="1" applyFont="1" applyFill="1" applyAlignment="1">
      <alignment vertical="center"/>
    </xf>
    <xf numFmtId="164" fontId="19" fillId="2" borderId="0" xfId="0" applyNumberFormat="1" applyFont="1" applyFill="1" applyAlignment="1">
      <alignment horizontal="left" vertical="center"/>
    </xf>
    <xf numFmtId="164" fontId="2" fillId="5" borderId="0" xfId="0" applyNumberFormat="1" applyFont="1" applyFill="1" applyAlignment="1">
      <alignment horizontal="justify" vertical="center" wrapText="1"/>
    </xf>
    <xf numFmtId="164" fontId="2" fillId="2" borderId="5" xfId="0" applyNumberFormat="1" applyFont="1" applyFill="1" applyBorder="1" applyAlignment="1">
      <alignment horizontal="left" vertical="center"/>
    </xf>
    <xf numFmtId="164" fontId="2" fillId="2" borderId="17" xfId="0" applyNumberFormat="1" applyFont="1" applyFill="1" applyBorder="1" applyAlignment="1">
      <alignment horizontal="left" vertical="center"/>
    </xf>
    <xf numFmtId="164" fontId="2" fillId="2" borderId="9" xfId="0" applyNumberFormat="1" applyFont="1" applyFill="1" applyBorder="1" applyAlignment="1">
      <alignment horizontal="left" vertical="center"/>
    </xf>
    <xf numFmtId="164" fontId="2" fillId="2" borderId="7" xfId="0" applyNumberFormat="1" applyFont="1" applyFill="1" applyBorder="1" applyAlignment="1">
      <alignment horizontal="left" vertical="center"/>
    </xf>
    <xf numFmtId="164" fontId="2" fillId="2" borderId="14" xfId="0" applyNumberFormat="1" applyFont="1" applyFill="1" applyBorder="1" applyAlignment="1">
      <alignment horizontal="left" vertical="center"/>
    </xf>
    <xf numFmtId="164" fontId="2" fillId="2" borderId="10" xfId="0" applyNumberFormat="1" applyFont="1" applyFill="1" applyBorder="1" applyAlignment="1">
      <alignment horizontal="left" vertical="center"/>
    </xf>
    <xf numFmtId="164" fontId="2" fillId="2" borderId="2" xfId="0" applyNumberFormat="1" applyFont="1" applyFill="1" applyBorder="1" applyAlignment="1">
      <alignment horizontal="right" vertical="center"/>
    </xf>
    <xf numFmtId="164" fontId="2" fillId="2" borderId="4" xfId="0" applyNumberFormat="1" applyFont="1" applyFill="1" applyBorder="1" applyAlignment="1">
      <alignment horizontal="right" vertical="center"/>
    </xf>
    <xf numFmtId="164" fontId="2" fillId="2" borderId="6" xfId="0" applyNumberFormat="1" applyFont="1" applyFill="1" applyBorder="1" applyAlignment="1">
      <alignment horizontal="left" vertical="center"/>
    </xf>
    <xf numFmtId="164" fontId="2" fillId="2" borderId="0" xfId="0" applyNumberFormat="1" applyFont="1" applyFill="1" applyAlignment="1">
      <alignment horizontal="left" vertical="center"/>
    </xf>
    <xf numFmtId="164" fontId="2" fillId="2" borderId="12" xfId="0" applyNumberFormat="1" applyFont="1" applyFill="1" applyBorder="1" applyAlignment="1">
      <alignment horizontal="left" vertical="center"/>
    </xf>
    <xf numFmtId="10" fontId="2" fillId="2" borderId="0" xfId="0" applyNumberFormat="1" applyFont="1" applyFill="1" applyAlignment="1">
      <alignment horizontal="right" vertical="center"/>
    </xf>
    <xf numFmtId="10" fontId="2" fillId="2" borderId="12" xfId="0" applyNumberFormat="1" applyFont="1" applyFill="1" applyBorder="1" applyAlignment="1">
      <alignment horizontal="right" vertical="center"/>
    </xf>
    <xf numFmtId="10" fontId="2" fillId="2" borderId="14" xfId="0" applyNumberFormat="1" applyFont="1" applyFill="1" applyBorder="1" applyAlignment="1">
      <alignment horizontal="right" vertical="center"/>
    </xf>
    <xf numFmtId="10" fontId="2" fillId="2" borderId="10" xfId="0" applyNumberFormat="1" applyFont="1" applyFill="1" applyBorder="1" applyAlignment="1">
      <alignment horizontal="right" vertical="center"/>
    </xf>
    <xf numFmtId="164" fontId="2" fillId="2" borderId="0" xfId="0" applyNumberFormat="1" applyFont="1" applyFill="1" applyAlignment="1">
      <alignment horizontal="justify" vertical="center" wrapText="1"/>
    </xf>
    <xf numFmtId="164" fontId="3" fillId="3" borderId="0" xfId="0" applyNumberFormat="1" applyFont="1" applyFill="1" applyAlignment="1">
      <alignment horizontal="left" vertical="center"/>
    </xf>
    <xf numFmtId="164" fontId="4" fillId="3" borderId="0" xfId="0" applyNumberFormat="1" applyFont="1" applyFill="1" applyAlignment="1">
      <alignment horizontal="center" vertical="center"/>
    </xf>
    <xf numFmtId="164" fontId="2" fillId="3" borderId="0" xfId="0" applyNumberFormat="1" applyFont="1" applyFill="1" applyAlignment="1">
      <alignment horizontal="center" vertical="center"/>
    </xf>
    <xf numFmtId="164" fontId="11" fillId="2" borderId="0" xfId="0" applyNumberFormat="1" applyFont="1" applyFill="1" applyAlignment="1">
      <alignment horizontal="left" vertical="center"/>
    </xf>
    <xf numFmtId="164" fontId="20" fillId="2" borderId="0" xfId="0" applyNumberFormat="1" applyFont="1" applyFill="1" applyAlignment="1">
      <alignment horizontal="left" vertical="center"/>
    </xf>
    <xf numFmtId="164" fontId="2" fillId="2" borderId="17" xfId="0" applyNumberFormat="1" applyFont="1" applyFill="1" applyBorder="1" applyAlignment="1">
      <alignment horizontal="right" vertical="center"/>
    </xf>
    <xf numFmtId="164" fontId="2" fillId="2" borderId="9" xfId="0" applyNumberFormat="1" applyFont="1" applyFill="1" applyBorder="1" applyAlignment="1">
      <alignment horizontal="right" vertical="center"/>
    </xf>
    <xf numFmtId="164" fontId="2" fillId="2" borderId="14" xfId="0" applyNumberFormat="1" applyFont="1" applyFill="1" applyBorder="1" applyAlignment="1">
      <alignment horizontal="right" vertical="center"/>
    </xf>
    <xf numFmtId="164" fontId="2" fillId="2" borderId="10" xfId="0" applyNumberFormat="1" applyFont="1" applyFill="1" applyBorder="1" applyAlignment="1">
      <alignment horizontal="right" vertical="center"/>
    </xf>
    <xf numFmtId="10" fontId="2" fillId="2" borderId="17" xfId="0" applyNumberFormat="1" applyFont="1" applyFill="1" applyBorder="1" applyAlignment="1">
      <alignment horizontal="right" vertical="center"/>
    </xf>
    <xf numFmtId="10" fontId="2" fillId="2" borderId="9" xfId="0" applyNumberFormat="1" applyFont="1" applyFill="1" applyBorder="1" applyAlignment="1">
      <alignment horizontal="right" vertical="center"/>
    </xf>
    <xf numFmtId="164" fontId="2" fillId="2" borderId="11" xfId="0" applyNumberFormat="1" applyFont="1" applyFill="1" applyBorder="1" applyAlignment="1">
      <alignment horizontal="left"/>
    </xf>
    <xf numFmtId="164" fontId="2" fillId="2" borderId="8" xfId="0" applyNumberFormat="1" applyFont="1" applyFill="1" applyBorder="1" applyAlignment="1">
      <alignment horizontal="left"/>
    </xf>
    <xf numFmtId="164" fontId="2" fillId="2" borderId="5" xfId="0" applyNumberFormat="1" applyFont="1" applyFill="1" applyBorder="1" applyAlignment="1">
      <alignment horizontal="left"/>
    </xf>
    <xf numFmtId="164" fontId="2" fillId="2" borderId="9" xfId="0" applyNumberFormat="1" applyFont="1" applyFill="1" applyBorder="1" applyAlignment="1">
      <alignment horizontal="left"/>
    </xf>
    <xf numFmtId="164" fontId="2" fillId="2" borderId="6" xfId="0" applyNumberFormat="1" applyFont="1" applyFill="1" applyBorder="1" applyAlignment="1">
      <alignment horizontal="left"/>
    </xf>
    <xf numFmtId="164" fontId="2" fillId="2" borderId="12" xfId="0" applyNumberFormat="1" applyFont="1" applyFill="1" applyBorder="1" applyAlignment="1">
      <alignment horizontal="left"/>
    </xf>
    <xf numFmtId="164" fontId="2" fillId="2" borderId="7" xfId="0" applyNumberFormat="1" applyFont="1" applyFill="1" applyBorder="1" applyAlignment="1">
      <alignment horizontal="left"/>
    </xf>
    <xf numFmtId="164" fontId="2" fillId="2" borderId="10" xfId="0" applyNumberFormat="1" applyFont="1" applyFill="1" applyBorder="1" applyAlignment="1">
      <alignment horizontal="left"/>
    </xf>
    <xf numFmtId="164" fontId="2" fillId="4" borderId="13" xfId="2" applyNumberFormat="1" applyFont="1" applyAlignment="1">
      <alignment horizontal="left"/>
    </xf>
    <xf numFmtId="164" fontId="17" fillId="6" borderId="16" xfId="4" applyNumberFormat="1" applyFont="1" applyAlignment="1">
      <alignment horizontal="left"/>
    </xf>
    <xf numFmtId="164" fontId="2" fillId="5" borderId="5" xfId="0" applyNumberFormat="1" applyFont="1" applyFill="1" applyBorder="1" applyAlignment="1">
      <alignment horizontal="center" vertical="center" wrapText="1"/>
    </xf>
    <xf numFmtId="164" fontId="2" fillId="5" borderId="17" xfId="0" applyNumberFormat="1" applyFont="1" applyFill="1" applyBorder="1" applyAlignment="1">
      <alignment horizontal="center" vertical="center" wrapText="1"/>
    </xf>
    <xf numFmtId="164" fontId="2" fillId="5" borderId="9" xfId="0" applyNumberFormat="1" applyFont="1" applyFill="1" applyBorder="1" applyAlignment="1">
      <alignment horizontal="center" vertical="center" wrapText="1"/>
    </xf>
    <xf numFmtId="164" fontId="2" fillId="5" borderId="6" xfId="0" applyNumberFormat="1" applyFont="1" applyFill="1" applyBorder="1" applyAlignment="1">
      <alignment horizontal="center" vertical="center" wrapText="1"/>
    </xf>
    <xf numFmtId="164" fontId="2" fillId="5" borderId="0" xfId="0" applyNumberFormat="1" applyFont="1" applyFill="1" applyAlignment="1">
      <alignment horizontal="center" vertical="center" wrapText="1"/>
    </xf>
    <xf numFmtId="164" fontId="2" fillId="5" borderId="12" xfId="0" applyNumberFormat="1" applyFont="1" applyFill="1" applyBorder="1" applyAlignment="1">
      <alignment horizontal="center" vertical="center" wrapText="1"/>
    </xf>
    <xf numFmtId="164" fontId="2" fillId="5" borderId="7" xfId="0" applyNumberFormat="1" applyFont="1" applyFill="1" applyBorder="1" applyAlignment="1">
      <alignment horizontal="center" vertical="center" wrapText="1"/>
    </xf>
    <xf numFmtId="164" fontId="2" fillId="5" borderId="14" xfId="0" applyNumberFormat="1" applyFont="1" applyFill="1" applyBorder="1" applyAlignment="1">
      <alignment horizontal="center" vertical="center" wrapText="1"/>
    </xf>
    <xf numFmtId="164" fontId="2" fillId="5" borderId="10" xfId="0" applyNumberFormat="1" applyFont="1" applyFill="1" applyBorder="1" applyAlignment="1">
      <alignment horizontal="center" vertical="center" wrapText="1"/>
    </xf>
    <xf numFmtId="0" fontId="2" fillId="2" borderId="11" xfId="0" applyFont="1" applyFill="1" applyBorder="1" applyAlignment="1">
      <alignment horizontal="left"/>
    </xf>
    <xf numFmtId="0" fontId="2" fillId="2" borderId="8" xfId="0" applyFont="1" applyFill="1" applyBorder="1" applyAlignment="1">
      <alignment horizontal="left"/>
    </xf>
    <xf numFmtId="0" fontId="2" fillId="2" borderId="5" xfId="0" applyFont="1" applyFill="1" applyBorder="1" applyAlignment="1">
      <alignment horizontal="left"/>
    </xf>
    <xf numFmtId="0" fontId="2" fillId="2" borderId="9" xfId="0" applyFont="1" applyFill="1" applyBorder="1" applyAlignment="1">
      <alignment horizontal="left"/>
    </xf>
    <xf numFmtId="0" fontId="2" fillId="2" borderId="5"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5" borderId="5" xfId="0" applyFont="1" applyFill="1" applyBorder="1" applyAlignment="1">
      <alignment horizontal="center" wrapText="1"/>
    </xf>
    <xf numFmtId="0" fontId="2" fillId="5" borderId="17" xfId="0" applyFont="1" applyFill="1" applyBorder="1" applyAlignment="1">
      <alignment horizontal="center"/>
    </xf>
    <xf numFmtId="0" fontId="2" fillId="5" borderId="9" xfId="0" applyFont="1" applyFill="1" applyBorder="1" applyAlignment="1">
      <alignment horizontal="center"/>
    </xf>
    <xf numFmtId="0" fontId="2" fillId="5" borderId="6" xfId="0" applyFont="1" applyFill="1" applyBorder="1" applyAlignment="1">
      <alignment horizontal="center"/>
    </xf>
    <xf numFmtId="0" fontId="2" fillId="5" borderId="0" xfId="0" applyFont="1" applyFill="1" applyAlignment="1">
      <alignment horizontal="center"/>
    </xf>
    <xf numFmtId="0" fontId="2" fillId="5" borderId="12" xfId="0" applyFont="1" applyFill="1" applyBorder="1" applyAlignment="1">
      <alignment horizontal="center"/>
    </xf>
    <xf numFmtId="0" fontId="2" fillId="5" borderId="7" xfId="0" applyFont="1" applyFill="1" applyBorder="1" applyAlignment="1">
      <alignment horizontal="center"/>
    </xf>
    <xf numFmtId="0" fontId="2" fillId="5" borderId="14" xfId="0" applyFont="1" applyFill="1" applyBorder="1" applyAlignment="1">
      <alignment horizontal="center"/>
    </xf>
    <xf numFmtId="0" fontId="2" fillId="5" borderId="10" xfId="0" applyFont="1" applyFill="1" applyBorder="1" applyAlignment="1">
      <alignment horizontal="center"/>
    </xf>
    <xf numFmtId="0" fontId="11" fillId="4" borderId="13" xfId="2" applyFont="1" applyAlignment="1">
      <alignment horizontal="left" vertical="center"/>
    </xf>
    <xf numFmtId="0" fontId="11" fillId="4" borderId="13" xfId="2" applyFont="1" applyAlignment="1">
      <alignment horizontal="right" vertical="center"/>
    </xf>
    <xf numFmtId="164" fontId="12" fillId="5" borderId="0" xfId="0" applyNumberFormat="1" applyFont="1" applyFill="1" applyAlignment="1">
      <alignment horizontal="left" vertical="center"/>
    </xf>
    <xf numFmtId="164" fontId="2" fillId="4" borderId="13" xfId="2" applyNumberFormat="1" applyFont="1" applyAlignment="1">
      <alignment horizontal="left" wrapText="1"/>
    </xf>
    <xf numFmtId="164" fontId="2" fillId="4" borderId="13" xfId="2" applyNumberFormat="1" applyFont="1" applyAlignment="1">
      <alignment horizontal="right" vertical="center"/>
    </xf>
    <xf numFmtId="164" fontId="4" fillId="3" borderId="0" xfId="0" applyNumberFormat="1" applyFont="1" applyFill="1" applyAlignment="1">
      <alignment horizontal="center" vertical="center" wrapText="1"/>
    </xf>
    <xf numFmtId="164" fontId="12" fillId="4" borderId="13" xfId="2" applyNumberFormat="1" applyFont="1" applyAlignment="1">
      <alignment horizontal="left" vertical="center"/>
    </xf>
    <xf numFmtId="10" fontId="12" fillId="4" borderId="13" xfId="2" applyNumberFormat="1" applyFont="1" applyAlignment="1">
      <alignment horizontal="right" vertical="center"/>
    </xf>
    <xf numFmtId="164" fontId="15" fillId="4" borderId="13" xfId="2" applyNumberFormat="1" applyFont="1" applyAlignment="1">
      <alignment horizontal="left" vertical="center"/>
    </xf>
    <xf numFmtId="165" fontId="12" fillId="4" borderId="13" xfId="2" applyNumberFormat="1" applyFont="1" applyAlignment="1">
      <alignment horizontal="right" vertical="center"/>
    </xf>
    <xf numFmtId="164" fontId="12" fillId="4" borderId="13" xfId="2" applyNumberFormat="1" applyFont="1" applyAlignment="1">
      <alignment horizontal="right" vertical="center"/>
    </xf>
    <xf numFmtId="164" fontId="1" fillId="2" borderId="14" xfId="1" applyNumberFormat="1" applyFill="1" applyBorder="1" applyAlignment="1">
      <alignment horizontal="center"/>
    </xf>
    <xf numFmtId="164" fontId="1" fillId="2" borderId="0" xfId="1" applyNumberFormat="1" applyFill="1" applyBorder="1" applyAlignment="1">
      <alignment horizontal="center"/>
    </xf>
  </cellXfs>
  <cellStyles count="5">
    <cellStyle name="Explanatory Text" xfId="1" builtinId="53"/>
    <cellStyle name="Heading 3" xfId="3" builtinId="18"/>
    <cellStyle name="Normal" xfId="0" builtinId="0"/>
    <cellStyle name="Note" xfId="2" builtinId="10"/>
    <cellStyle name="Output" xfId="4"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21F9-4CE4-B48F-3A3ABBFE89D3}"/>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21F9-4CE4-B48F-3A3ABBFE89D3}"/>
              </c:ext>
            </c:extLst>
          </c:dPt>
          <c:dPt>
            <c:idx val="2"/>
            <c:invertIfNegative val="0"/>
            <c:bubble3D val="0"/>
            <c:spPr>
              <a:solidFill>
                <a:schemeClr val="bg1"/>
              </a:solidFill>
              <a:ln>
                <a:noFill/>
              </a:ln>
              <a:effectLst/>
            </c:spPr>
            <c:extLst>
              <c:ext xmlns:c16="http://schemas.microsoft.com/office/drawing/2014/chart" uri="{C3380CC4-5D6E-409C-BE32-E72D297353CC}">
                <c16:uniqueId val="{00000005-21F9-4CE4-B48F-3A3ABBFE89D3}"/>
              </c:ext>
            </c:extLst>
          </c:dPt>
          <c:dLbls>
            <c:dLbl>
              <c:idx val="0"/>
              <c:layout>
                <c:manualLayout>
                  <c:x val="-1.2870012870012869E-2"/>
                  <c:y val="-6.600660066006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F9-4CE4-B48F-3A3ABBFE89D3}"/>
                </c:ext>
              </c:extLst>
            </c:dLbl>
            <c:dLbl>
              <c:idx val="1"/>
              <c:layout>
                <c:manualLayout>
                  <c:x val="-3.2175032175032767E-3"/>
                  <c:y val="-3.521413164938543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F9-4CE4-B48F-3A3ABBFE89D3}"/>
                </c:ext>
              </c:extLst>
            </c:dLbl>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F9-4CE4-B48F-3A3ABBFE89D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28575" cap="rnd">
                <a:solidFill>
                  <a:schemeClr val="bg1">
                    <a:lumMod val="75000"/>
                  </a:schemeClr>
                </a:solidFill>
                <a:prstDash val="sysDot"/>
                <a:tailEnd type="oval"/>
              </a:ln>
              <a:effectLst/>
            </c:spPr>
            <c:trendlineType val="poly"/>
            <c:order val="2"/>
            <c:dispRSqr val="0"/>
            <c:dispEq val="0"/>
          </c:trendline>
          <c:cat>
            <c:strRef>
              <c:f>'EXIT, GAIN ANALYSIS &amp; SENSITIVI'!$E$13:$F$15</c:f>
              <c:strCache>
                <c:ptCount val="3"/>
                <c:pt idx="0">
                  <c:v>Money Invested</c:v>
                </c:pt>
                <c:pt idx="1">
                  <c:v>Money Returned</c:v>
                </c:pt>
                <c:pt idx="2">
                  <c:v>Gain / Profit</c:v>
                </c:pt>
              </c:strCache>
            </c:strRef>
          </c:cat>
          <c:val>
            <c:numRef>
              <c:f>'EXIT, GAIN ANALYSIS &amp; SENSITIVI'!$G$13:$G$15</c:f>
              <c:numCache>
                <c:formatCode>#,##0_);\(#,##0\);"--"</c:formatCode>
                <c:ptCount val="3"/>
                <c:pt idx="0">
                  <c:v>12184.777941621622</c:v>
                </c:pt>
                <c:pt idx="1">
                  <c:v>30987.134549837287</c:v>
                </c:pt>
                <c:pt idx="2">
                  <c:v>18802.356608215665</c:v>
                </c:pt>
              </c:numCache>
            </c:numRef>
          </c:val>
          <c:extLst>
            <c:ext xmlns:c16="http://schemas.microsoft.com/office/drawing/2014/chart" uri="{C3380CC4-5D6E-409C-BE32-E72D297353CC}">
              <c16:uniqueId val="{00000007-21F9-4CE4-B48F-3A3ABBFE89D3}"/>
            </c:ext>
          </c:extLst>
        </c:ser>
        <c:dLbls>
          <c:showLegendKey val="0"/>
          <c:showVal val="0"/>
          <c:showCatName val="0"/>
          <c:showSerName val="0"/>
          <c:showPercent val="0"/>
          <c:showBubbleSize val="0"/>
        </c:dLbls>
        <c:gapWidth val="219"/>
        <c:overlap val="-27"/>
        <c:axId val="2110626608"/>
        <c:axId val="2110627088"/>
      </c:barChart>
      <c:catAx>
        <c:axId val="211062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110627088"/>
        <c:crosses val="autoZero"/>
        <c:auto val="1"/>
        <c:lblAlgn val="ctr"/>
        <c:lblOffset val="100"/>
        <c:noMultiLvlLbl val="0"/>
      </c:catAx>
      <c:valAx>
        <c:axId val="2110627088"/>
        <c:scaling>
          <c:orientation val="minMax"/>
        </c:scaling>
        <c:delete val="0"/>
        <c:axPos val="l"/>
        <c:numFmt formatCode="#,##0_);\(#,##0\);&quot;--&quot;" sourceLinked="1"/>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1106266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48</xdr:row>
      <xdr:rowOff>0</xdr:rowOff>
    </xdr:from>
    <xdr:to>
      <xdr:col>4</xdr:col>
      <xdr:colOff>0</xdr:colOff>
      <xdr:row>56</xdr:row>
      <xdr:rowOff>15240</xdr:rowOff>
    </xdr:to>
    <xdr:graphicFrame macro="">
      <xdr:nvGraphicFramePr>
        <xdr:cNvPr id="5" name="Chart 4">
          <a:extLst>
            <a:ext uri="{FF2B5EF4-FFF2-40B4-BE49-F238E27FC236}">
              <a16:creationId xmlns:a16="http://schemas.microsoft.com/office/drawing/2014/main" id="{79677EA6-C493-43B3-976A-639C3BD5D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71F20-E339-48E4-A8AE-65DB7D0F2610}">
  <dimension ref="B2:K25"/>
  <sheetViews>
    <sheetView workbookViewId="0"/>
  </sheetViews>
  <sheetFormatPr defaultColWidth="15.77734375" defaultRowHeight="15.6"/>
  <cols>
    <col min="1" max="1" width="2" style="12" customWidth="1"/>
    <col min="2" max="2" width="25.77734375" style="12" customWidth="1"/>
    <col min="3" max="16384" width="15.77734375" style="12"/>
  </cols>
  <sheetData>
    <row r="2" spans="2:11">
      <c r="B2" s="32" t="s">
        <v>63</v>
      </c>
      <c r="C2" s="33" t="s">
        <v>64</v>
      </c>
      <c r="D2" s="33" t="s">
        <v>65</v>
      </c>
      <c r="E2" s="33" t="s">
        <v>66</v>
      </c>
      <c r="F2" s="33" t="s">
        <v>67</v>
      </c>
      <c r="G2" s="33" t="s">
        <v>68</v>
      </c>
      <c r="H2" s="24"/>
      <c r="I2" s="24"/>
      <c r="J2" s="24"/>
      <c r="K2" s="25"/>
    </row>
    <row r="3" spans="2:11">
      <c r="B3" s="34" t="s">
        <v>69</v>
      </c>
      <c r="C3" s="35">
        <v>471.79</v>
      </c>
      <c r="D3" s="35">
        <v>624.71</v>
      </c>
      <c r="E3" s="35">
        <v>696.45</v>
      </c>
      <c r="F3" s="35">
        <v>810.83</v>
      </c>
      <c r="G3" s="36">
        <v>1055.5</v>
      </c>
      <c r="H3" s="26"/>
      <c r="I3" s="27"/>
      <c r="J3" s="27"/>
    </row>
    <row r="4" spans="2:11">
      <c r="B4" s="34" t="s">
        <v>3</v>
      </c>
      <c r="C4" s="35">
        <v>214.23</v>
      </c>
      <c r="D4" s="35">
        <v>296.63</v>
      </c>
      <c r="E4" s="35">
        <v>313.47000000000003</v>
      </c>
      <c r="F4" s="35">
        <v>382.09</v>
      </c>
      <c r="G4" s="35">
        <v>502.16</v>
      </c>
      <c r="H4" s="30"/>
      <c r="I4" s="30"/>
      <c r="J4" s="30"/>
    </row>
    <row r="5" spans="2:11">
      <c r="B5" s="34" t="s">
        <v>70</v>
      </c>
      <c r="C5" s="35">
        <v>97.91</v>
      </c>
      <c r="D5" s="35">
        <v>36.159999999999997</v>
      </c>
      <c r="E5" s="35">
        <v>43.45</v>
      </c>
      <c r="F5" s="35">
        <v>48.62</v>
      </c>
      <c r="G5" s="35">
        <v>59.33</v>
      </c>
      <c r="H5" s="26"/>
      <c r="I5" s="26"/>
      <c r="J5" s="26"/>
    </row>
    <row r="6" spans="2:11">
      <c r="B6" s="34" t="s">
        <v>6</v>
      </c>
      <c r="C6" s="35">
        <v>116.32</v>
      </c>
      <c r="D6" s="35">
        <v>260.45999999999998</v>
      </c>
      <c r="E6" s="35">
        <v>270.02</v>
      </c>
      <c r="F6" s="35">
        <v>333.47</v>
      </c>
      <c r="G6" s="35">
        <v>442.83</v>
      </c>
      <c r="H6" s="30"/>
      <c r="I6" s="30"/>
      <c r="J6" s="30"/>
    </row>
    <row r="7" spans="2:11" ht="28.8">
      <c r="B7" s="34" t="s">
        <v>71</v>
      </c>
      <c r="C7" s="35">
        <v>51.91</v>
      </c>
      <c r="D7" s="35">
        <v>52.83</v>
      </c>
      <c r="E7" s="35">
        <v>10.61</v>
      </c>
      <c r="F7" s="35">
        <v>8.33</v>
      </c>
      <c r="G7" s="35">
        <v>4.63</v>
      </c>
      <c r="H7" s="30"/>
      <c r="I7" s="30"/>
      <c r="J7" s="30"/>
    </row>
    <row r="8" spans="2:11">
      <c r="B8" s="34" t="s">
        <v>8</v>
      </c>
      <c r="C8" s="35">
        <v>64.41</v>
      </c>
      <c r="D8" s="35">
        <v>207.63</v>
      </c>
      <c r="E8" s="35">
        <v>259.41000000000003</v>
      </c>
      <c r="F8" s="35">
        <v>325.14</v>
      </c>
      <c r="G8" s="35">
        <v>438.2</v>
      </c>
      <c r="H8" s="30"/>
      <c r="I8" s="30"/>
      <c r="J8" s="30"/>
    </row>
    <row r="9" spans="2:11">
      <c r="B9" s="34" t="s">
        <v>72</v>
      </c>
      <c r="C9" s="35">
        <v>131.72</v>
      </c>
      <c r="D9" s="35">
        <v>54.62</v>
      </c>
      <c r="E9" s="35">
        <v>63.16</v>
      </c>
      <c r="F9" s="35">
        <v>79.72</v>
      </c>
      <c r="G9" s="35">
        <v>112.65</v>
      </c>
      <c r="H9" s="26"/>
      <c r="I9" s="26"/>
      <c r="J9" s="26"/>
    </row>
    <row r="10" spans="2:11">
      <c r="B10" s="34" t="s">
        <v>10</v>
      </c>
      <c r="C10" s="35">
        <v>-67.31</v>
      </c>
      <c r="D10" s="35">
        <v>153.02000000000001</v>
      </c>
      <c r="E10" s="35">
        <v>196.25</v>
      </c>
      <c r="F10" s="35">
        <v>245.42</v>
      </c>
      <c r="G10" s="35">
        <v>325.55</v>
      </c>
      <c r="H10" s="31"/>
      <c r="I10" s="31"/>
      <c r="J10" s="31"/>
    </row>
    <row r="11" spans="2:11">
      <c r="B11" s="34" t="s">
        <v>73</v>
      </c>
      <c r="C11" s="35">
        <v>14.71</v>
      </c>
      <c r="D11" s="35">
        <v>30.92</v>
      </c>
      <c r="E11" s="35">
        <v>57</v>
      </c>
      <c r="F11" s="35">
        <v>46.64</v>
      </c>
      <c r="G11" s="35">
        <v>22.78</v>
      </c>
      <c r="H11" s="26"/>
      <c r="I11" s="26"/>
      <c r="J11" s="26"/>
    </row>
    <row r="12" spans="2:11">
      <c r="B12" s="34" t="s">
        <v>74</v>
      </c>
      <c r="C12" s="35">
        <v>346.13</v>
      </c>
      <c r="D12" s="35">
        <v>122.51</v>
      </c>
      <c r="E12" s="35">
        <v>130.07</v>
      </c>
      <c r="F12" s="35">
        <v>0</v>
      </c>
      <c r="G12" s="35">
        <v>0</v>
      </c>
      <c r="H12" s="29"/>
      <c r="I12" s="29"/>
      <c r="J12" s="29"/>
    </row>
    <row r="13" spans="2:11">
      <c r="B13" s="34" t="s">
        <v>15</v>
      </c>
      <c r="C13" s="35">
        <v>107.87</v>
      </c>
      <c r="D13" s="35">
        <v>107.06</v>
      </c>
      <c r="E13" s="35">
        <v>117.64</v>
      </c>
      <c r="F13" s="35">
        <v>143.5</v>
      </c>
      <c r="G13" s="35">
        <v>179.67</v>
      </c>
      <c r="H13" s="29"/>
      <c r="I13" s="29"/>
      <c r="J13" s="29"/>
    </row>
    <row r="14" spans="2:11">
      <c r="B14" s="34" t="s">
        <v>16</v>
      </c>
      <c r="C14" s="35">
        <v>25.05</v>
      </c>
      <c r="D14" s="35">
        <v>23.94</v>
      </c>
      <c r="E14" s="35">
        <v>24.69</v>
      </c>
      <c r="F14" s="35">
        <v>40.159999999999997</v>
      </c>
      <c r="G14" s="35">
        <v>66.94</v>
      </c>
      <c r="H14" s="29"/>
      <c r="I14" s="29"/>
      <c r="J14" s="29"/>
    </row>
    <row r="15" spans="2:11">
      <c r="B15" s="34" t="s">
        <v>17</v>
      </c>
      <c r="C15" s="35" t="s">
        <v>75</v>
      </c>
      <c r="D15" s="35" t="s">
        <v>75</v>
      </c>
      <c r="E15" s="35" t="s">
        <v>75</v>
      </c>
      <c r="F15" s="35" t="s">
        <v>75</v>
      </c>
      <c r="G15" s="35" t="s">
        <v>75</v>
      </c>
      <c r="H15" s="29"/>
      <c r="I15" s="29"/>
      <c r="J15" s="29"/>
    </row>
    <row r="16" spans="2:11">
      <c r="B16" s="34" t="s">
        <v>76</v>
      </c>
      <c r="C16" s="35">
        <v>82.82</v>
      </c>
      <c r="D16" s="35">
        <v>83.13</v>
      </c>
      <c r="E16" s="35">
        <v>92.95</v>
      </c>
      <c r="F16" s="35">
        <v>103.34</v>
      </c>
      <c r="G16" s="35">
        <v>112.73</v>
      </c>
      <c r="H16" s="26"/>
      <c r="I16" s="26"/>
      <c r="J16" s="26"/>
    </row>
    <row r="17" spans="2:10">
      <c r="B17" s="34" t="s">
        <v>19</v>
      </c>
      <c r="C17" s="35">
        <v>202.38</v>
      </c>
      <c r="D17" s="35">
        <v>256.27</v>
      </c>
      <c r="E17" s="35">
        <v>232.02</v>
      </c>
      <c r="F17" s="35">
        <v>286.33999999999997</v>
      </c>
      <c r="G17" s="35">
        <v>393.31</v>
      </c>
      <c r="H17" s="31"/>
      <c r="I17" s="31"/>
      <c r="J17" s="31"/>
    </row>
    <row r="18" spans="2:10">
      <c r="B18" s="34" t="s">
        <v>77</v>
      </c>
      <c r="C18" s="35">
        <v>30.32</v>
      </c>
      <c r="D18" s="35">
        <v>66.760000000000005</v>
      </c>
      <c r="E18" s="35">
        <v>65.59</v>
      </c>
      <c r="F18" s="35">
        <v>79.67</v>
      </c>
      <c r="G18" s="35">
        <v>85.66</v>
      </c>
      <c r="H18" s="26"/>
      <c r="I18" s="26"/>
      <c r="J18" s="26"/>
    </row>
    <row r="19" spans="2:10">
      <c r="B19" s="34" t="s">
        <v>78</v>
      </c>
      <c r="C19" s="35">
        <v>172.06</v>
      </c>
      <c r="D19" s="35">
        <v>189.51</v>
      </c>
      <c r="E19" s="35">
        <v>166.43</v>
      </c>
      <c r="F19" s="35">
        <v>206.66</v>
      </c>
      <c r="G19" s="35">
        <v>307.64999999999998</v>
      </c>
      <c r="H19" s="29"/>
      <c r="I19" s="29"/>
      <c r="J19" s="29"/>
    </row>
    <row r="20" spans="2:10">
      <c r="B20" s="34" t="s">
        <v>22</v>
      </c>
      <c r="C20" s="35">
        <v>0</v>
      </c>
      <c r="D20" s="35">
        <v>0</v>
      </c>
      <c r="E20" s="35">
        <v>0</v>
      </c>
      <c r="F20" s="35">
        <v>0</v>
      </c>
      <c r="G20" s="35">
        <v>98.52</v>
      </c>
      <c r="H20" s="29"/>
      <c r="I20" s="29"/>
      <c r="J20" s="29"/>
    </row>
    <row r="21" spans="2:10">
      <c r="B21" s="28"/>
      <c r="C21" s="29"/>
      <c r="D21" s="29"/>
      <c r="E21" s="29"/>
      <c r="F21" s="29"/>
      <c r="G21" s="29"/>
      <c r="H21" s="29"/>
      <c r="I21" s="29"/>
      <c r="J21" s="29"/>
    </row>
    <row r="22" spans="2:10">
      <c r="B22" s="28"/>
      <c r="C22" s="29"/>
      <c r="D22" s="29"/>
      <c r="E22" s="29"/>
      <c r="F22" s="29"/>
      <c r="G22" s="29"/>
      <c r="H22" s="29"/>
      <c r="I22" s="29"/>
      <c r="J22" s="29"/>
    </row>
    <row r="23" spans="2:10">
      <c r="B23" s="28"/>
      <c r="C23" s="29"/>
      <c r="D23" s="31"/>
      <c r="E23" s="31"/>
      <c r="F23" s="31"/>
      <c r="G23" s="31"/>
      <c r="H23" s="31"/>
      <c r="I23" s="31"/>
      <c r="J23" s="31"/>
    </row>
    <row r="24" spans="2:10">
      <c r="B24" s="28"/>
      <c r="C24" s="29"/>
      <c r="D24" s="29"/>
      <c r="E24" s="29"/>
      <c r="F24" s="29"/>
      <c r="G24" s="29"/>
      <c r="H24" s="29"/>
      <c r="I24" s="29"/>
      <c r="J24" s="29"/>
    </row>
    <row r="25" spans="2:10">
      <c r="B25" s="28"/>
      <c r="C25" s="31"/>
      <c r="D25" s="31"/>
      <c r="E25" s="31"/>
      <c r="F25" s="31"/>
      <c r="G25" s="31"/>
      <c r="H25" s="31"/>
      <c r="I25" s="31"/>
      <c r="J25" s="3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DB121-8D8F-46CB-893B-93BC00CE4ED5}">
  <sheetPr>
    <pageSetUpPr fitToPage="1"/>
  </sheetPr>
  <dimension ref="B1:G58"/>
  <sheetViews>
    <sheetView tabSelected="1" zoomScaleNormal="100" workbookViewId="0"/>
  </sheetViews>
  <sheetFormatPr defaultColWidth="15.77734375" defaultRowHeight="15" customHeight="1"/>
  <cols>
    <col min="1" max="1" width="2" style="1" customWidth="1"/>
    <col min="2" max="2" width="25.77734375" style="1" customWidth="1"/>
    <col min="3" max="16384" width="15.77734375" style="1"/>
  </cols>
  <sheetData>
    <row r="1" spans="2:7" ht="15.6" customHeight="1">
      <c r="B1" s="127" t="s">
        <v>30</v>
      </c>
      <c r="C1" s="128" t="s">
        <v>177</v>
      </c>
      <c r="D1" s="128"/>
      <c r="E1" s="128"/>
      <c r="F1" s="128"/>
      <c r="G1" s="128"/>
    </row>
    <row r="2" spans="2:7" ht="15.6" customHeight="1">
      <c r="B2" s="127"/>
      <c r="C2" s="128"/>
      <c r="D2" s="128"/>
      <c r="E2" s="128"/>
      <c r="F2" s="128"/>
      <c r="G2" s="128"/>
    </row>
    <row r="3" spans="2:7" ht="15.6" customHeight="1">
      <c r="B3" s="127"/>
      <c r="C3" s="128"/>
      <c r="D3" s="128"/>
      <c r="E3" s="128"/>
      <c r="F3" s="128"/>
      <c r="G3" s="128"/>
    </row>
    <row r="4" spans="2:7" ht="15.6" customHeight="1">
      <c r="B4" s="127"/>
      <c r="C4" s="128"/>
      <c r="D4" s="128"/>
      <c r="E4" s="128"/>
      <c r="F4" s="128"/>
      <c r="G4" s="128"/>
    </row>
    <row r="6" spans="2:7" ht="15" customHeight="1">
      <c r="B6" s="130" t="s">
        <v>178</v>
      </c>
      <c r="C6" s="130"/>
      <c r="D6" s="130"/>
    </row>
    <row r="7" spans="2:7" ht="15" customHeight="1">
      <c r="B7" s="130"/>
      <c r="C7" s="130"/>
      <c r="D7" s="130"/>
    </row>
    <row r="8" spans="2:7" ht="15" customHeight="1">
      <c r="B8" s="109" t="s">
        <v>179</v>
      </c>
      <c r="C8" s="109"/>
      <c r="D8" s="109"/>
      <c r="E8" s="109"/>
      <c r="F8" s="109"/>
      <c r="G8" s="109"/>
    </row>
    <row r="9" spans="2:7" ht="15" customHeight="1">
      <c r="B9" s="109"/>
      <c r="C9" s="109"/>
      <c r="D9" s="109"/>
      <c r="E9" s="109"/>
      <c r="F9" s="109"/>
      <c r="G9" s="109"/>
    </row>
    <row r="10" spans="2:7" ht="15" customHeight="1">
      <c r="B10" s="109"/>
      <c r="C10" s="109"/>
      <c r="D10" s="109"/>
      <c r="E10" s="109"/>
      <c r="F10" s="109"/>
      <c r="G10" s="109"/>
    </row>
    <row r="11" spans="2:7" ht="15" customHeight="1">
      <c r="B11" s="109"/>
      <c r="C11" s="109"/>
      <c r="D11" s="109"/>
      <c r="E11" s="109"/>
      <c r="F11" s="109"/>
      <c r="G11" s="109"/>
    </row>
    <row r="12" spans="2:7" ht="15" customHeight="1">
      <c r="B12" s="109"/>
      <c r="C12" s="109"/>
      <c r="D12" s="109"/>
      <c r="E12" s="109"/>
      <c r="F12" s="109"/>
      <c r="G12" s="109"/>
    </row>
    <row r="13" spans="2:7" ht="15" customHeight="1">
      <c r="B13" s="109"/>
      <c r="C13" s="109"/>
      <c r="D13" s="109"/>
      <c r="E13" s="109"/>
      <c r="F13" s="109"/>
      <c r="G13" s="109"/>
    </row>
    <row r="14" spans="2:7" ht="15" customHeight="1">
      <c r="B14" s="109"/>
      <c r="C14" s="109"/>
      <c r="D14" s="109"/>
      <c r="E14" s="109"/>
      <c r="F14" s="109"/>
      <c r="G14" s="109"/>
    </row>
    <row r="15" spans="2:7" ht="15" customHeight="1">
      <c r="B15" s="108"/>
      <c r="C15" s="108"/>
      <c r="D15" s="108"/>
      <c r="E15" s="108"/>
      <c r="F15" s="108"/>
      <c r="G15" s="108"/>
    </row>
    <row r="16" spans="2:7" ht="15" customHeight="1">
      <c r="B16" s="131" t="s">
        <v>180</v>
      </c>
      <c r="C16" s="131"/>
      <c r="D16" s="131"/>
      <c r="E16" s="131"/>
      <c r="F16" s="131"/>
      <c r="G16" s="131"/>
    </row>
    <row r="17" spans="2:7" ht="15" customHeight="1">
      <c r="B17" s="131"/>
      <c r="C17" s="131"/>
      <c r="D17" s="131"/>
      <c r="E17" s="131"/>
      <c r="F17" s="131"/>
      <c r="G17" s="131"/>
    </row>
    <row r="18" spans="2:7" ht="15" customHeight="1">
      <c r="B18" s="104"/>
      <c r="C18" s="104"/>
      <c r="D18" s="104"/>
      <c r="E18" s="104"/>
      <c r="F18" s="104"/>
      <c r="G18" s="104"/>
    </row>
    <row r="20" spans="2:7" ht="15" customHeight="1">
      <c r="B20" s="111" t="s">
        <v>35</v>
      </c>
      <c r="C20" s="112"/>
      <c r="D20" s="113"/>
      <c r="E20" s="132" t="s">
        <v>183</v>
      </c>
      <c r="F20" s="132"/>
      <c r="G20" s="133"/>
    </row>
    <row r="21" spans="2:7" ht="15" customHeight="1">
      <c r="B21" s="114"/>
      <c r="C21" s="115"/>
      <c r="D21" s="116"/>
      <c r="E21" s="134"/>
      <c r="F21" s="134"/>
      <c r="G21" s="135"/>
    </row>
    <row r="22" spans="2:7" ht="15" customHeight="1">
      <c r="B22" s="111" t="s">
        <v>164</v>
      </c>
      <c r="C22" s="112"/>
      <c r="D22" s="113"/>
      <c r="E22" s="132" t="s">
        <v>184</v>
      </c>
      <c r="F22" s="132"/>
      <c r="G22" s="133"/>
    </row>
    <row r="23" spans="2:7" ht="15" customHeight="1">
      <c r="B23" s="114"/>
      <c r="C23" s="115"/>
      <c r="D23" s="116"/>
      <c r="E23" s="134"/>
      <c r="F23" s="134"/>
      <c r="G23" s="135"/>
    </row>
    <row r="24" spans="2:7" ht="15" customHeight="1">
      <c r="B24" s="111" t="s">
        <v>181</v>
      </c>
      <c r="C24" s="112"/>
      <c r="D24" s="113"/>
      <c r="E24" s="136">
        <v>0.20519999999999999</v>
      </c>
      <c r="F24" s="136"/>
      <c r="G24" s="137"/>
    </row>
    <row r="25" spans="2:7" ht="15" customHeight="1">
      <c r="B25" s="114"/>
      <c r="C25" s="115"/>
      <c r="D25" s="116"/>
      <c r="E25" s="124"/>
      <c r="F25" s="124"/>
      <c r="G25" s="125"/>
    </row>
    <row r="26" spans="2:7" ht="15" customHeight="1">
      <c r="B26" s="111" t="s">
        <v>160</v>
      </c>
      <c r="C26" s="112"/>
      <c r="D26" s="113"/>
      <c r="E26" s="132" t="s">
        <v>185</v>
      </c>
      <c r="F26" s="132"/>
      <c r="G26" s="133"/>
    </row>
    <row r="27" spans="2:7" ht="15" customHeight="1">
      <c r="B27" s="114"/>
      <c r="C27" s="115"/>
      <c r="D27" s="116"/>
      <c r="E27" s="134"/>
      <c r="F27" s="134"/>
      <c r="G27" s="135"/>
    </row>
    <row r="28" spans="2:7" ht="15" customHeight="1">
      <c r="B28" s="119" t="s">
        <v>182</v>
      </c>
      <c r="C28" s="120"/>
      <c r="D28" s="121"/>
      <c r="E28" s="122">
        <v>0.81779999999999997</v>
      </c>
      <c r="F28" s="122"/>
      <c r="G28" s="123"/>
    </row>
    <row r="29" spans="2:7" ht="15" customHeight="1">
      <c r="B29" s="114"/>
      <c r="C29" s="115"/>
      <c r="D29" s="116"/>
      <c r="E29" s="124"/>
      <c r="F29" s="124"/>
      <c r="G29" s="125"/>
    </row>
    <row r="31" spans="2:7" ht="15" customHeight="1">
      <c r="B31" s="126" t="s">
        <v>186</v>
      </c>
      <c r="C31" s="126"/>
      <c r="D31" s="126"/>
      <c r="E31" s="126"/>
      <c r="F31" s="126"/>
      <c r="G31" s="126"/>
    </row>
    <row r="32" spans="2:7" ht="15" customHeight="1">
      <c r="B32" s="126"/>
      <c r="C32" s="126"/>
      <c r="D32" s="126"/>
      <c r="E32" s="126"/>
      <c r="F32" s="126"/>
      <c r="G32" s="126"/>
    </row>
    <row r="33" spans="2:7" ht="15" customHeight="1">
      <c r="B33" s="126"/>
      <c r="C33" s="126"/>
      <c r="D33" s="126"/>
      <c r="E33" s="126"/>
      <c r="F33" s="126"/>
      <c r="G33" s="126"/>
    </row>
    <row r="34" spans="2:7" ht="15" customHeight="1">
      <c r="B34" s="105"/>
      <c r="C34" s="105"/>
      <c r="D34" s="105"/>
      <c r="E34" s="105"/>
      <c r="F34" s="105"/>
      <c r="G34" s="105"/>
    </row>
    <row r="35" spans="2:7" ht="15" customHeight="1">
      <c r="B35" s="110" t="s">
        <v>193</v>
      </c>
      <c r="C35" s="110"/>
      <c r="D35" s="110"/>
      <c r="E35" s="110"/>
      <c r="F35" s="110"/>
      <c r="G35" s="110"/>
    </row>
    <row r="36" spans="2:7" ht="15" customHeight="1">
      <c r="B36" s="110"/>
      <c r="C36" s="110"/>
      <c r="D36" s="110"/>
      <c r="E36" s="110"/>
      <c r="F36" s="110"/>
      <c r="G36" s="110"/>
    </row>
    <row r="37" spans="2:7" ht="15" customHeight="1">
      <c r="B37" s="110"/>
      <c r="C37" s="110"/>
      <c r="D37" s="110"/>
      <c r="E37" s="110"/>
      <c r="F37" s="110"/>
      <c r="G37" s="110"/>
    </row>
    <row r="38" spans="2:7" ht="15" customHeight="1">
      <c r="B38" s="110"/>
      <c r="C38" s="110"/>
      <c r="D38" s="110"/>
      <c r="E38" s="110"/>
      <c r="F38" s="110"/>
      <c r="G38" s="110"/>
    </row>
    <row r="39" spans="2:7" ht="15" customHeight="1">
      <c r="B39" s="110"/>
      <c r="C39" s="110"/>
      <c r="D39" s="110"/>
      <c r="E39" s="110"/>
      <c r="F39" s="110"/>
      <c r="G39" s="110"/>
    </row>
    <row r="40" spans="2:7" ht="15" customHeight="1">
      <c r="B40" s="110"/>
      <c r="C40" s="110"/>
      <c r="D40" s="110"/>
      <c r="E40" s="110"/>
      <c r="F40" s="110"/>
      <c r="G40" s="110"/>
    </row>
    <row r="41" spans="2:7" ht="15" customHeight="1">
      <c r="B41" s="107"/>
      <c r="C41" s="107"/>
      <c r="D41" s="107"/>
      <c r="E41" s="107"/>
      <c r="F41" s="107"/>
      <c r="G41" s="107"/>
    </row>
    <row r="42" spans="2:7" ht="15" customHeight="1">
      <c r="B42" s="106"/>
      <c r="C42" s="106"/>
      <c r="D42" s="106"/>
      <c r="E42" s="106"/>
      <c r="F42" s="106"/>
      <c r="G42" s="106"/>
    </row>
    <row r="43" spans="2:7" ht="15" customHeight="1">
      <c r="B43" s="1" t="s">
        <v>187</v>
      </c>
    </row>
    <row r="45" spans="2:7" ht="15" customHeight="1">
      <c r="B45" s="111" t="s">
        <v>188</v>
      </c>
      <c r="C45" s="112"/>
      <c r="D45" s="112"/>
      <c r="E45" s="112"/>
      <c r="F45" s="113"/>
      <c r="G45" s="117">
        <v>2</v>
      </c>
    </row>
    <row r="46" spans="2:7" ht="15" customHeight="1">
      <c r="B46" s="114"/>
      <c r="C46" s="115"/>
      <c r="D46" s="115"/>
      <c r="E46" s="115"/>
      <c r="F46" s="116"/>
      <c r="G46" s="118"/>
    </row>
    <row r="47" spans="2:7" ht="15" customHeight="1">
      <c r="B47" s="111" t="s">
        <v>189</v>
      </c>
      <c r="C47" s="112"/>
      <c r="D47" s="112"/>
      <c r="E47" s="112"/>
      <c r="F47" s="113"/>
      <c r="G47" s="117">
        <v>3</v>
      </c>
    </row>
    <row r="48" spans="2:7" ht="15" customHeight="1">
      <c r="B48" s="114"/>
      <c r="C48" s="115"/>
      <c r="D48" s="115"/>
      <c r="E48" s="115"/>
      <c r="F48" s="116"/>
      <c r="G48" s="118"/>
    </row>
    <row r="49" spans="2:7" ht="15" customHeight="1">
      <c r="B49" s="111" t="s">
        <v>194</v>
      </c>
      <c r="C49" s="112"/>
      <c r="D49" s="112"/>
      <c r="E49" s="112"/>
      <c r="F49" s="113"/>
      <c r="G49" s="117">
        <v>4</v>
      </c>
    </row>
    <row r="50" spans="2:7" ht="15" customHeight="1">
      <c r="B50" s="114"/>
      <c r="C50" s="115"/>
      <c r="D50" s="115"/>
      <c r="E50" s="115"/>
      <c r="F50" s="116"/>
      <c r="G50" s="118"/>
    </row>
    <row r="51" spans="2:7" ht="15" customHeight="1">
      <c r="B51" s="111" t="s">
        <v>190</v>
      </c>
      <c r="C51" s="112"/>
      <c r="D51" s="112"/>
      <c r="E51" s="112"/>
      <c r="F51" s="113"/>
      <c r="G51" s="117">
        <v>5</v>
      </c>
    </row>
    <row r="52" spans="2:7" ht="15" customHeight="1">
      <c r="B52" s="114"/>
      <c r="C52" s="115"/>
      <c r="D52" s="115"/>
      <c r="E52" s="115"/>
      <c r="F52" s="116"/>
      <c r="G52" s="118"/>
    </row>
    <row r="53" spans="2:7" ht="15" customHeight="1">
      <c r="B53" s="111" t="s">
        <v>191</v>
      </c>
      <c r="C53" s="112"/>
      <c r="D53" s="112"/>
      <c r="E53" s="112"/>
      <c r="F53" s="113"/>
      <c r="G53" s="117">
        <v>6</v>
      </c>
    </row>
    <row r="54" spans="2:7" ht="15" customHeight="1">
      <c r="B54" s="114"/>
      <c r="C54" s="115"/>
      <c r="D54" s="115"/>
      <c r="E54" s="115"/>
      <c r="F54" s="116"/>
      <c r="G54" s="118"/>
    </row>
    <row r="55" spans="2:7" ht="15" customHeight="1">
      <c r="B55" s="111" t="s">
        <v>192</v>
      </c>
      <c r="C55" s="112"/>
      <c r="D55" s="112"/>
      <c r="E55" s="112"/>
      <c r="F55" s="113"/>
      <c r="G55" s="117">
        <v>7</v>
      </c>
    </row>
    <row r="56" spans="2:7" ht="15" customHeight="1">
      <c r="B56" s="114"/>
      <c r="C56" s="115"/>
      <c r="D56" s="115"/>
      <c r="E56" s="115"/>
      <c r="F56" s="116"/>
      <c r="G56" s="118"/>
    </row>
    <row r="58" spans="2:7" ht="15" customHeight="1">
      <c r="B58" s="129" t="s">
        <v>173</v>
      </c>
      <c r="C58" s="129"/>
      <c r="D58" s="129"/>
      <c r="E58" s="129"/>
      <c r="F58" s="129"/>
      <c r="G58" s="129"/>
    </row>
  </sheetData>
  <mergeCells count="30">
    <mergeCell ref="B1:B4"/>
    <mergeCell ref="C1:G4"/>
    <mergeCell ref="B58:G58"/>
    <mergeCell ref="B6:D7"/>
    <mergeCell ref="B16:G17"/>
    <mergeCell ref="B20:D21"/>
    <mergeCell ref="E20:G21"/>
    <mergeCell ref="B22:D23"/>
    <mergeCell ref="E22:G23"/>
    <mergeCell ref="B24:D25"/>
    <mergeCell ref="E24:G25"/>
    <mergeCell ref="B26:D27"/>
    <mergeCell ref="E26:G27"/>
    <mergeCell ref="B49:F50"/>
    <mergeCell ref="B51:F52"/>
    <mergeCell ref="B53:F54"/>
    <mergeCell ref="B55:F56"/>
    <mergeCell ref="G55:G56"/>
    <mergeCell ref="G53:G54"/>
    <mergeCell ref="G51:G52"/>
    <mergeCell ref="G49:G50"/>
    <mergeCell ref="B8:G14"/>
    <mergeCell ref="B35:G40"/>
    <mergeCell ref="B45:F46"/>
    <mergeCell ref="B47:F48"/>
    <mergeCell ref="G47:G48"/>
    <mergeCell ref="G45:G46"/>
    <mergeCell ref="B28:D29"/>
    <mergeCell ref="E28:G29"/>
    <mergeCell ref="B31:G33"/>
  </mergeCells>
  <printOptions horizontalCentered="1"/>
  <pageMargins left="0" right="0" top="0" bottom="0" header="0" footer="0"/>
  <pageSetup scale="88"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1F162-0D05-4957-9EC7-AE527F2691B7}">
  <sheetPr>
    <pageSetUpPr fitToPage="1"/>
  </sheetPr>
  <dimension ref="A1:G58"/>
  <sheetViews>
    <sheetView zoomScaleNormal="100" workbookViewId="0"/>
  </sheetViews>
  <sheetFormatPr defaultColWidth="15.77734375" defaultRowHeight="15" customHeight="1"/>
  <cols>
    <col min="1" max="1" width="2" style="1" customWidth="1"/>
    <col min="2" max="2" width="25.77734375" style="1" customWidth="1"/>
    <col min="3" max="16384" width="15.77734375" style="1"/>
  </cols>
  <sheetData>
    <row r="1" spans="1:7" ht="15.6" customHeight="1">
      <c r="B1" s="127" t="s">
        <v>30</v>
      </c>
      <c r="C1" s="128" t="s">
        <v>33</v>
      </c>
      <c r="D1" s="128"/>
      <c r="E1" s="128"/>
      <c r="F1" s="128"/>
      <c r="G1" s="128"/>
    </row>
    <row r="2" spans="1:7" ht="15.6" customHeight="1">
      <c r="B2" s="127"/>
      <c r="C2" s="128"/>
      <c r="D2" s="128"/>
      <c r="E2" s="128"/>
      <c r="F2" s="128"/>
      <c r="G2" s="128"/>
    </row>
    <row r="3" spans="1:7" ht="15.6" customHeight="1">
      <c r="B3" s="127"/>
      <c r="C3" s="128"/>
      <c r="D3" s="128"/>
      <c r="E3" s="128"/>
      <c r="F3" s="128"/>
      <c r="G3" s="128"/>
    </row>
    <row r="4" spans="1:7" ht="15.6" customHeight="1">
      <c r="B4" s="127"/>
      <c r="C4" s="128"/>
      <c r="D4" s="128"/>
      <c r="E4" s="128"/>
      <c r="F4" s="128"/>
      <c r="G4" s="128"/>
    </row>
    <row r="6" spans="1:7" ht="15" customHeight="1">
      <c r="A6" s="11"/>
      <c r="B6" s="6" t="s">
        <v>0</v>
      </c>
      <c r="C6" s="58" t="s">
        <v>97</v>
      </c>
      <c r="D6" s="58" t="s">
        <v>98</v>
      </c>
      <c r="E6" s="58" t="s">
        <v>99</v>
      </c>
      <c r="F6" s="58" t="s">
        <v>100</v>
      </c>
      <c r="G6" s="58" t="s">
        <v>101</v>
      </c>
    </row>
    <row r="7" spans="1:7" ht="15" customHeight="1">
      <c r="A7" s="11"/>
      <c r="D7" s="12"/>
      <c r="E7" s="12"/>
      <c r="F7" s="12"/>
      <c r="G7" s="12"/>
    </row>
    <row r="8" spans="1:7" ht="15" customHeight="1">
      <c r="A8" s="11"/>
      <c r="B8" s="10" t="s">
        <v>42</v>
      </c>
    </row>
    <row r="9" spans="1:7" ht="15" customHeight="1">
      <c r="B9" s="14" t="s">
        <v>79</v>
      </c>
      <c r="C9" s="39">
        <f>CHOOSE($G$40,$G$36,$G$37,$G$38)</f>
        <v>0.17300258944262487</v>
      </c>
      <c r="D9" s="39">
        <f>C9</f>
        <v>0.17300258944262487</v>
      </c>
      <c r="E9" s="39">
        <f t="shared" ref="E9:G9" si="0">D9</f>
        <v>0.17300258944262487</v>
      </c>
      <c r="F9" s="39">
        <f t="shared" si="0"/>
        <v>0.17300258944262487</v>
      </c>
      <c r="G9" s="39">
        <f t="shared" si="0"/>
        <v>0.17300258944262487</v>
      </c>
    </row>
    <row r="10" spans="1:7" ht="15" customHeight="1">
      <c r="C10" s="40"/>
      <c r="D10" s="40"/>
      <c r="E10" s="40"/>
      <c r="F10" s="40"/>
      <c r="G10" s="40"/>
    </row>
    <row r="11" spans="1:7" ht="15" customHeight="1">
      <c r="B11" s="10" t="s">
        <v>45</v>
      </c>
      <c r="C11" s="40"/>
      <c r="D11" s="40"/>
      <c r="E11" s="40"/>
      <c r="F11" s="40"/>
      <c r="G11" s="40"/>
    </row>
    <row r="12" spans="1:7" ht="15" customHeight="1">
      <c r="B12" s="14" t="s">
        <v>43</v>
      </c>
      <c r="C12" s="38">
        <f>AVERAGE('HISTORICAL DATA'!C48:G48)</f>
        <v>0.46519862654300603</v>
      </c>
      <c r="D12" s="38">
        <f>$C$12</f>
        <v>0.46519862654300603</v>
      </c>
      <c r="E12" s="38">
        <f t="shared" ref="E12:G12" si="1">$C$12</f>
        <v>0.46519862654300603</v>
      </c>
      <c r="F12" s="38">
        <f t="shared" si="1"/>
        <v>0.46519862654300603</v>
      </c>
      <c r="G12" s="38">
        <f t="shared" si="1"/>
        <v>0.46519862654300603</v>
      </c>
    </row>
    <row r="13" spans="1:7" ht="15" customHeight="1">
      <c r="C13" s="40"/>
      <c r="D13" s="40"/>
      <c r="E13" s="40"/>
      <c r="F13" s="40"/>
      <c r="G13" s="40"/>
    </row>
    <row r="14" spans="1:7" ht="15" customHeight="1">
      <c r="B14" s="10" t="s">
        <v>44</v>
      </c>
      <c r="C14" s="40"/>
      <c r="D14" s="40"/>
      <c r="E14" s="40"/>
      <c r="F14" s="40"/>
      <c r="G14" s="40"/>
    </row>
    <row r="15" spans="1:7" ht="15" customHeight="1">
      <c r="B15" s="14" t="s">
        <v>46</v>
      </c>
      <c r="C15" s="39">
        <v>5.91E-2</v>
      </c>
      <c r="D15" s="39">
        <v>5.91E-2</v>
      </c>
      <c r="E15" s="39">
        <v>5.91E-2</v>
      </c>
      <c r="F15" s="39">
        <v>5.91E-2</v>
      </c>
      <c r="G15" s="39">
        <v>5.91E-2</v>
      </c>
    </row>
    <row r="16" spans="1:7" ht="15" customHeight="1">
      <c r="C16" s="41"/>
      <c r="D16" s="41"/>
      <c r="E16" s="41"/>
      <c r="F16" s="41"/>
      <c r="G16" s="41"/>
    </row>
    <row r="17" spans="2:7" ht="15" customHeight="1">
      <c r="B17" s="10" t="s">
        <v>47</v>
      </c>
      <c r="C17" s="41"/>
      <c r="D17" s="41"/>
      <c r="E17" s="41"/>
      <c r="F17" s="41"/>
      <c r="G17" s="41"/>
    </row>
    <row r="18" spans="2:7" ht="15" customHeight="1">
      <c r="B18" s="14" t="s">
        <v>48</v>
      </c>
      <c r="C18" s="39">
        <v>8.8900000000000007E-2</v>
      </c>
      <c r="D18" s="39">
        <v>8.8900000000000007E-2</v>
      </c>
      <c r="E18" s="39">
        <v>8.8900000000000007E-2</v>
      </c>
      <c r="F18" s="39">
        <v>8.8900000000000007E-2</v>
      </c>
      <c r="G18" s="39">
        <v>8.8900000000000007E-2</v>
      </c>
    </row>
    <row r="20" spans="2:7" ht="15" customHeight="1">
      <c r="B20" s="10" t="s">
        <v>34</v>
      </c>
      <c r="D20" s="10"/>
    </row>
    <row r="21" spans="2:7" ht="15" customHeight="1">
      <c r="B21" s="5" t="s">
        <v>40</v>
      </c>
      <c r="C21" s="19" t="s">
        <v>41</v>
      </c>
      <c r="E21" s="138" t="s">
        <v>80</v>
      </c>
      <c r="F21" s="139"/>
      <c r="G21" s="43" t="s">
        <v>41</v>
      </c>
    </row>
    <row r="22" spans="2:7" ht="15" customHeight="1">
      <c r="B22" s="15"/>
      <c r="C22" s="16"/>
      <c r="E22" s="84"/>
      <c r="F22" s="84"/>
    </row>
    <row r="23" spans="2:7" ht="15" customHeight="1">
      <c r="B23" s="2" t="s">
        <v>35</v>
      </c>
      <c r="C23" s="44">
        <f>G31</f>
        <v>29.133734267962403</v>
      </c>
      <c r="E23" s="140" t="s">
        <v>81</v>
      </c>
      <c r="F23" s="141"/>
      <c r="G23" s="45">
        <v>847.95</v>
      </c>
    </row>
    <row r="24" spans="2:7" ht="15" customHeight="1">
      <c r="B24" s="3" t="s">
        <v>36</v>
      </c>
      <c r="C24" s="49">
        <f>$C$23</f>
        <v>29.133734267962403</v>
      </c>
      <c r="E24" s="142" t="s">
        <v>82</v>
      </c>
      <c r="F24" s="143"/>
      <c r="G24" s="46">
        <v>17.28</v>
      </c>
    </row>
    <row r="25" spans="2:7" ht="15" customHeight="1">
      <c r="B25" s="3" t="s">
        <v>37</v>
      </c>
      <c r="C25" s="46">
        <v>5</v>
      </c>
      <c r="E25" s="142" t="s">
        <v>83</v>
      </c>
      <c r="F25" s="143"/>
      <c r="G25" s="17">
        <f>G23*G24</f>
        <v>14652.576000000001</v>
      </c>
    </row>
    <row r="26" spans="2:7" ht="15" customHeight="1">
      <c r="B26" s="3" t="s">
        <v>38</v>
      </c>
      <c r="C26" s="48">
        <v>0.25</v>
      </c>
      <c r="E26" s="142" t="s">
        <v>14</v>
      </c>
      <c r="F26" s="143"/>
      <c r="G26" s="17">
        <f>'HISTORICAL DATA'!G28</f>
        <v>-22.78</v>
      </c>
    </row>
    <row r="27" spans="2:7" ht="15" customHeight="1">
      <c r="B27" s="4" t="s">
        <v>39</v>
      </c>
      <c r="C27" s="18">
        <f>'PURCHASE PRICE &amp; SOURCES, USES'!C18</f>
        <v>292.14031999999997</v>
      </c>
      <c r="E27" s="144" t="s">
        <v>84</v>
      </c>
      <c r="F27" s="145"/>
      <c r="G27" s="18">
        <f>G25+G26</f>
        <v>14629.796</v>
      </c>
    </row>
    <row r="28" spans="2:7" ht="15" customHeight="1">
      <c r="E28" s="84"/>
      <c r="F28" s="84"/>
    </row>
    <row r="29" spans="2:7" ht="15" customHeight="1">
      <c r="B29" s="10" t="s">
        <v>49</v>
      </c>
      <c r="E29" s="84"/>
      <c r="F29" s="84"/>
    </row>
    <row r="30" spans="2:7" ht="15" customHeight="1">
      <c r="B30" s="5" t="s">
        <v>40</v>
      </c>
      <c r="C30" s="19" t="s">
        <v>41</v>
      </c>
      <c r="E30" s="146" t="s">
        <v>85</v>
      </c>
      <c r="F30" s="146"/>
      <c r="G30" s="56">
        <f>'HISTORICAL DATA'!G10</f>
        <v>502.16</v>
      </c>
    </row>
    <row r="31" spans="2:7" ht="15" customHeight="1">
      <c r="B31" s="15"/>
      <c r="C31" s="16"/>
      <c r="E31" s="146" t="s">
        <v>86</v>
      </c>
      <c r="F31" s="146"/>
      <c r="G31" s="57">
        <f>G27/G30</f>
        <v>29.133734267962403</v>
      </c>
    </row>
    <row r="32" spans="2:7" ht="15" customHeight="1">
      <c r="B32" s="2" t="s">
        <v>50</v>
      </c>
      <c r="C32" s="52">
        <f>'PURCHASE PRICE &amp; SOURCES, USES'!G8/G27</f>
        <v>0.17626079403017372</v>
      </c>
      <c r="E32" s="84"/>
      <c r="F32" s="84"/>
    </row>
    <row r="33" spans="2:7" ht="15" customHeight="1">
      <c r="B33" s="3" t="s">
        <v>51</v>
      </c>
      <c r="C33" s="47">
        <f>'PURCHASE PRICE &amp; SOURCES, USES'!G9/G27</f>
        <v>9.2768838963249323E-3</v>
      </c>
      <c r="E33" s="146" t="s">
        <v>87</v>
      </c>
      <c r="F33" s="146"/>
      <c r="G33" s="56">
        <f>('HISTORICAL DATA'!C30/'HISTORICAL DATA'!C8)*365</f>
        <v>83.453549248606379</v>
      </c>
    </row>
    <row r="34" spans="2:7" ht="15" customHeight="1">
      <c r="B34" s="3" t="s">
        <v>52</v>
      </c>
      <c r="C34" s="47">
        <f>100%-(C32+C33)</f>
        <v>0.81446232207350133</v>
      </c>
      <c r="E34" s="146" t="s">
        <v>88</v>
      </c>
      <c r="F34" s="146"/>
      <c r="G34" s="56">
        <f>('HISTORICAL DATA'!C32/('HISTORICAL DATA'!C8-'HISTORICAL DATA'!C10))*365</f>
        <v>35.499495263239631</v>
      </c>
    </row>
    <row r="35" spans="2:7" ht="15" customHeight="1">
      <c r="B35" s="3" t="s">
        <v>53</v>
      </c>
      <c r="C35" s="47">
        <f>'PURCHASE PRICE &amp; SOURCES, USES'!C29+'PURCHASE PRICE &amp; SOURCES, USES'!C30</f>
        <v>0.23</v>
      </c>
      <c r="E35" s="84"/>
      <c r="F35" s="84"/>
    </row>
    <row r="36" spans="2:7" ht="15" customHeight="1">
      <c r="B36" s="3" t="s">
        <v>54</v>
      </c>
      <c r="C36" s="17">
        <v>0</v>
      </c>
      <c r="E36" s="146" t="s">
        <v>174</v>
      </c>
      <c r="F36" s="146"/>
      <c r="G36" s="76">
        <f>_xlfn.RRI(4,'HISTORICAL DATA'!C8,'HISTORICAL DATA'!G8)</f>
        <v>0.22300258944262485</v>
      </c>
    </row>
    <row r="37" spans="2:7" ht="15" customHeight="1">
      <c r="B37" s="4" t="s">
        <v>55</v>
      </c>
      <c r="C37" s="95">
        <v>1</v>
      </c>
      <c r="E37" s="146" t="s">
        <v>175</v>
      </c>
      <c r="F37" s="146"/>
      <c r="G37" s="76">
        <f>G36-5%</f>
        <v>0.17300258944262487</v>
      </c>
    </row>
    <row r="38" spans="2:7" ht="15" customHeight="1">
      <c r="E38" s="146" t="s">
        <v>176</v>
      </c>
      <c r="F38" s="146"/>
      <c r="G38" s="76">
        <f>G37-5%</f>
        <v>0.12300258944262486</v>
      </c>
    </row>
    <row r="39" spans="2:7" ht="15" customHeight="1">
      <c r="B39" s="10" t="s">
        <v>56</v>
      </c>
    </row>
    <row r="40" spans="2:7" ht="15" customHeight="1">
      <c r="B40" s="5" t="s">
        <v>40</v>
      </c>
      <c r="C40" s="19" t="s">
        <v>41</v>
      </c>
      <c r="E40" s="147" t="s">
        <v>168</v>
      </c>
      <c r="F40" s="147"/>
      <c r="G40" s="93">
        <v>2</v>
      </c>
    </row>
    <row r="41" spans="2:7" ht="15" customHeight="1">
      <c r="B41" s="15"/>
      <c r="C41" s="16"/>
      <c r="F41" s="91"/>
      <c r="G41" s="92"/>
    </row>
    <row r="42" spans="2:7" ht="15" customHeight="1">
      <c r="B42" s="2" t="s">
        <v>57</v>
      </c>
      <c r="C42" s="96">
        <v>2030</v>
      </c>
      <c r="E42" s="148" t="s">
        <v>169</v>
      </c>
      <c r="F42" s="149"/>
      <c r="G42" s="150"/>
    </row>
    <row r="43" spans="2:7" ht="15" customHeight="1">
      <c r="B43" s="4" t="s">
        <v>36</v>
      </c>
      <c r="C43" s="53">
        <f>C24</f>
        <v>29.133734267962403</v>
      </c>
      <c r="E43" s="151"/>
      <c r="F43" s="152"/>
      <c r="G43" s="153"/>
    </row>
    <row r="44" spans="2:7" ht="15" customHeight="1">
      <c r="E44" s="151"/>
      <c r="F44" s="152"/>
      <c r="G44" s="153"/>
    </row>
    <row r="45" spans="2:7" ht="15" customHeight="1">
      <c r="B45" s="10" t="s">
        <v>58</v>
      </c>
      <c r="E45" s="151"/>
      <c r="F45" s="152"/>
      <c r="G45" s="153"/>
    </row>
    <row r="46" spans="2:7" ht="15" customHeight="1">
      <c r="B46" s="5" t="s">
        <v>40</v>
      </c>
      <c r="C46" s="19" t="s">
        <v>41</v>
      </c>
      <c r="E46" s="151"/>
      <c r="F46" s="152"/>
      <c r="G46" s="153"/>
    </row>
    <row r="47" spans="2:7" ht="15" customHeight="1">
      <c r="B47" s="15"/>
      <c r="C47" s="16"/>
      <c r="E47" s="151"/>
      <c r="F47" s="152"/>
      <c r="G47" s="153"/>
    </row>
    <row r="48" spans="2:7" ht="15" customHeight="1">
      <c r="B48" s="2" t="s">
        <v>59</v>
      </c>
      <c r="C48" s="97">
        <v>0.2</v>
      </c>
      <c r="E48" s="151"/>
      <c r="F48" s="152"/>
      <c r="G48" s="153"/>
    </row>
    <row r="49" spans="2:7" ht="15" customHeight="1">
      <c r="B49" s="4" t="s">
        <v>60</v>
      </c>
      <c r="C49" s="98">
        <v>3</v>
      </c>
      <c r="E49" s="151"/>
      <c r="F49" s="152"/>
      <c r="G49" s="153"/>
    </row>
    <row r="50" spans="2:7" ht="15" customHeight="1">
      <c r="C50" s="40"/>
      <c r="E50" s="151"/>
      <c r="F50" s="152"/>
      <c r="G50" s="153"/>
    </row>
    <row r="51" spans="2:7" ht="15" customHeight="1">
      <c r="B51" s="14" t="s">
        <v>134</v>
      </c>
      <c r="C51" s="99">
        <v>2</v>
      </c>
      <c r="E51" s="151"/>
      <c r="F51" s="152"/>
      <c r="G51" s="153"/>
    </row>
    <row r="52" spans="2:7" ht="15" customHeight="1">
      <c r="E52" s="151"/>
      <c r="F52" s="152"/>
      <c r="G52" s="153"/>
    </row>
    <row r="53" spans="2:7" ht="15" customHeight="1">
      <c r="B53" s="6" t="s">
        <v>136</v>
      </c>
      <c r="C53" s="77">
        <f>('PURCHASE PRICE &amp; SOURCES, USES'!C23*'PURCHASE PRICE &amp; SOURCES, USES'!C29)+('PURCHASE PRICE &amp; SOURCES, USES'!C24*'PURCHASE PRICE &amp; SOURCES, USES'!C30)</f>
        <v>9.2499999999999999E-2</v>
      </c>
      <c r="E53" s="151"/>
      <c r="F53" s="152"/>
      <c r="G53" s="153"/>
    </row>
    <row r="54" spans="2:7" ht="15" customHeight="1">
      <c r="E54" s="151"/>
      <c r="F54" s="152"/>
      <c r="G54" s="153"/>
    </row>
    <row r="55" spans="2:7" ht="15" customHeight="1">
      <c r="B55" s="6" t="s">
        <v>135</v>
      </c>
      <c r="C55" s="75">
        <f>G30/(C51*C53)</f>
        <v>2714.3783783783783</v>
      </c>
      <c r="E55" s="151"/>
      <c r="F55" s="152"/>
      <c r="G55" s="153"/>
    </row>
    <row r="56" spans="2:7" ht="15" customHeight="1">
      <c r="E56" s="154"/>
      <c r="F56" s="155"/>
      <c r="G56" s="156"/>
    </row>
    <row r="58" spans="2:7" ht="15" customHeight="1">
      <c r="B58" s="129" t="s">
        <v>173</v>
      </c>
      <c r="C58" s="129"/>
      <c r="D58" s="129"/>
      <c r="E58" s="129"/>
      <c r="F58" s="129"/>
      <c r="G58" s="129"/>
    </row>
  </sheetData>
  <mergeCells count="18">
    <mergeCell ref="E38:F38"/>
    <mergeCell ref="E42:G56"/>
    <mergeCell ref="B58:G58"/>
    <mergeCell ref="B1:B4"/>
    <mergeCell ref="C1:G4"/>
    <mergeCell ref="E21:F21"/>
    <mergeCell ref="E23:F23"/>
    <mergeCell ref="E24:F24"/>
    <mergeCell ref="E25:F25"/>
    <mergeCell ref="E26:F26"/>
    <mergeCell ref="E27:F27"/>
    <mergeCell ref="E30:F30"/>
    <mergeCell ref="E31:F31"/>
    <mergeCell ref="E40:F40"/>
    <mergeCell ref="E33:F33"/>
    <mergeCell ref="E34:F34"/>
    <mergeCell ref="E36:F36"/>
    <mergeCell ref="E37:F37"/>
  </mergeCells>
  <printOptions horizontalCentered="1"/>
  <pageMargins left="0" right="0" top="0" bottom="0" header="0" footer="0"/>
  <pageSetup scale="88"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563BE-0DDE-4E74-AE54-6EEBFC633AE6}">
  <sheetPr>
    <pageSetUpPr fitToPage="1"/>
  </sheetPr>
  <dimension ref="B1:L58"/>
  <sheetViews>
    <sheetView topLeftCell="A40" zoomScaleNormal="100" workbookViewId="0">
      <selection activeCell="A68" sqref="A68"/>
    </sheetView>
  </sheetViews>
  <sheetFormatPr defaultColWidth="15.77734375" defaultRowHeight="15" customHeight="1"/>
  <cols>
    <col min="1" max="1" width="2" style="1" customWidth="1"/>
    <col min="2" max="2" width="25.77734375" style="1" customWidth="1"/>
    <col min="3" max="16384" width="15.77734375" style="1"/>
  </cols>
  <sheetData>
    <row r="1" spans="2:12" ht="15.6">
      <c r="B1" s="127" t="s">
        <v>30</v>
      </c>
      <c r="C1" s="128" t="s">
        <v>31</v>
      </c>
      <c r="D1" s="128"/>
      <c r="E1" s="128"/>
      <c r="F1" s="128"/>
      <c r="G1" s="128"/>
    </row>
    <row r="2" spans="2:12" ht="15.6">
      <c r="B2" s="127"/>
      <c r="C2" s="128"/>
      <c r="D2" s="128"/>
      <c r="E2" s="128"/>
      <c r="F2" s="128"/>
      <c r="G2" s="128"/>
    </row>
    <row r="3" spans="2:12" ht="15.6">
      <c r="B3" s="127"/>
      <c r="C3" s="128"/>
      <c r="D3" s="128"/>
      <c r="E3" s="128"/>
      <c r="F3" s="128"/>
      <c r="G3" s="128"/>
    </row>
    <row r="4" spans="2:12" ht="15.6">
      <c r="B4" s="127"/>
      <c r="C4" s="128"/>
      <c r="D4" s="128"/>
      <c r="E4" s="128"/>
      <c r="F4" s="128"/>
      <c r="G4" s="128"/>
    </row>
    <row r="6" spans="2:12" ht="15" customHeight="1">
      <c r="B6" s="6" t="s">
        <v>0</v>
      </c>
      <c r="C6" s="5">
        <v>2021</v>
      </c>
      <c r="D6" s="5">
        <f>C6+1</f>
        <v>2022</v>
      </c>
      <c r="E6" s="5">
        <f t="shared" ref="E6:G6" si="0">D6+1</f>
        <v>2023</v>
      </c>
      <c r="F6" s="5">
        <f t="shared" si="0"/>
        <v>2024</v>
      </c>
      <c r="G6" s="5">
        <f t="shared" si="0"/>
        <v>2025</v>
      </c>
    </row>
    <row r="7" spans="2:12" ht="15" customHeight="1">
      <c r="B7" s="10" t="s">
        <v>26</v>
      </c>
    </row>
    <row r="8" spans="2:12" ht="15" customHeight="1">
      <c r="B8" s="2" t="s">
        <v>1</v>
      </c>
      <c r="C8" s="2">
        <f>DATA!C3</f>
        <v>471.79</v>
      </c>
      <c r="D8" s="2">
        <f>DATA!D3</f>
        <v>624.71</v>
      </c>
      <c r="E8" s="2">
        <f>DATA!E3</f>
        <v>696.45</v>
      </c>
      <c r="F8" s="2">
        <f>DATA!F3</f>
        <v>810.83</v>
      </c>
      <c r="G8" s="2">
        <f>DATA!G3</f>
        <v>1055.5</v>
      </c>
      <c r="H8" s="42"/>
      <c r="I8" s="12"/>
    </row>
    <row r="9" spans="2:12" ht="15" customHeight="1">
      <c r="B9" s="3"/>
      <c r="C9" s="3"/>
      <c r="D9" s="3"/>
      <c r="E9" s="3"/>
      <c r="F9" s="3"/>
      <c r="G9" s="3"/>
    </row>
    <row r="10" spans="2:12" ht="15" customHeight="1">
      <c r="B10" s="3" t="s">
        <v>3</v>
      </c>
      <c r="C10" s="3">
        <f>DATA!C4</f>
        <v>214.23</v>
      </c>
      <c r="D10" s="3">
        <f>DATA!D4</f>
        <v>296.63</v>
      </c>
      <c r="E10" s="3">
        <f>DATA!E4</f>
        <v>313.47000000000003</v>
      </c>
      <c r="F10" s="3">
        <f>DATA!F4</f>
        <v>382.09</v>
      </c>
      <c r="G10" s="3">
        <f>DATA!G4</f>
        <v>502.16</v>
      </c>
    </row>
    <row r="11" spans="2:12" ht="15" customHeight="1">
      <c r="B11" s="3"/>
      <c r="C11" s="3"/>
      <c r="D11" s="3"/>
      <c r="E11" s="3"/>
      <c r="F11" s="3"/>
      <c r="G11" s="3"/>
    </row>
    <row r="12" spans="2:12" ht="15" customHeight="1">
      <c r="B12" s="3" t="s">
        <v>5</v>
      </c>
      <c r="C12" s="3">
        <f>DATA!C5</f>
        <v>97.91</v>
      </c>
      <c r="D12" s="3">
        <f>DATA!D5</f>
        <v>36.159999999999997</v>
      </c>
      <c r="E12" s="3">
        <f>DATA!E5</f>
        <v>43.45</v>
      </c>
      <c r="F12" s="3">
        <f>DATA!F5</f>
        <v>48.62</v>
      </c>
      <c r="G12" s="3">
        <f>DATA!G5</f>
        <v>59.33</v>
      </c>
    </row>
    <row r="13" spans="2:12" ht="15" customHeight="1">
      <c r="B13" s="3"/>
      <c r="C13" s="3"/>
      <c r="D13" s="3"/>
      <c r="E13" s="3"/>
      <c r="F13" s="3"/>
      <c r="G13" s="3"/>
      <c r="H13" s="42"/>
      <c r="I13" s="42"/>
      <c r="J13" s="42"/>
      <c r="K13" s="42"/>
      <c r="L13" s="42"/>
    </row>
    <row r="14" spans="2:12" ht="15" customHeight="1">
      <c r="B14" s="3" t="s">
        <v>6</v>
      </c>
      <c r="C14" s="3">
        <f>DATA!C6</f>
        <v>116.32</v>
      </c>
      <c r="D14" s="3">
        <f>DATA!D6</f>
        <v>260.45999999999998</v>
      </c>
      <c r="E14" s="3">
        <f>DATA!E6</f>
        <v>270.02</v>
      </c>
      <c r="F14" s="3">
        <f>DATA!F6</f>
        <v>333.47</v>
      </c>
      <c r="G14" s="3">
        <f>DATA!G6</f>
        <v>442.83</v>
      </c>
    </row>
    <row r="15" spans="2:12" ht="15" customHeight="1">
      <c r="B15" s="3"/>
      <c r="C15" s="3"/>
      <c r="D15" s="3"/>
      <c r="E15" s="3"/>
      <c r="F15" s="3"/>
      <c r="G15" s="3"/>
    </row>
    <row r="16" spans="2:12" ht="15" customHeight="1">
      <c r="B16" s="3" t="s">
        <v>7</v>
      </c>
      <c r="C16" s="3">
        <f>DATA!C7</f>
        <v>51.91</v>
      </c>
      <c r="D16" s="3">
        <f>DATA!D7</f>
        <v>52.83</v>
      </c>
      <c r="E16" s="3">
        <f>DATA!E7</f>
        <v>10.61</v>
      </c>
      <c r="F16" s="3">
        <f>DATA!F7</f>
        <v>8.33</v>
      </c>
      <c r="G16" s="3">
        <f>DATA!G7</f>
        <v>4.63</v>
      </c>
    </row>
    <row r="17" spans="2:7" ht="15" customHeight="1">
      <c r="B17" s="3"/>
      <c r="C17" s="3"/>
      <c r="D17" s="3"/>
      <c r="E17" s="3"/>
      <c r="F17" s="3"/>
      <c r="G17" s="3"/>
    </row>
    <row r="18" spans="2:7" ht="15" customHeight="1">
      <c r="B18" s="3" t="s">
        <v>8</v>
      </c>
      <c r="C18" s="3">
        <f>DATA!C8</f>
        <v>64.41</v>
      </c>
      <c r="D18" s="3">
        <f>DATA!D8</f>
        <v>207.63</v>
      </c>
      <c r="E18" s="3">
        <f>DATA!E8</f>
        <v>259.41000000000003</v>
      </c>
      <c r="F18" s="3">
        <f>DATA!F8</f>
        <v>325.14</v>
      </c>
      <c r="G18" s="3">
        <f>DATA!G8</f>
        <v>438.2</v>
      </c>
    </row>
    <row r="19" spans="2:7" ht="15" customHeight="1">
      <c r="B19" s="3"/>
      <c r="C19" s="3"/>
      <c r="D19" s="3"/>
      <c r="E19" s="3"/>
      <c r="F19" s="3"/>
      <c r="G19" s="3"/>
    </row>
    <row r="20" spans="2:7" ht="15" customHeight="1">
      <c r="B20" s="3" t="s">
        <v>9</v>
      </c>
      <c r="C20" s="3">
        <f>DATA!C9</f>
        <v>131.72</v>
      </c>
      <c r="D20" s="3">
        <f>DATA!D9</f>
        <v>54.62</v>
      </c>
      <c r="E20" s="3">
        <f>DATA!E9</f>
        <v>63.16</v>
      </c>
      <c r="F20" s="3">
        <f>DATA!F9</f>
        <v>79.72</v>
      </c>
      <c r="G20" s="3">
        <f>DATA!G9</f>
        <v>112.65</v>
      </c>
    </row>
    <row r="21" spans="2:7" ht="15" customHeight="1">
      <c r="B21" s="3"/>
      <c r="C21" s="3"/>
      <c r="D21" s="3"/>
      <c r="E21" s="3"/>
      <c r="F21" s="3"/>
      <c r="G21" s="3"/>
    </row>
    <row r="22" spans="2:7" ht="15" customHeight="1">
      <c r="B22" s="4" t="s">
        <v>10</v>
      </c>
      <c r="C22" s="4">
        <f>C18-C20</f>
        <v>-67.31</v>
      </c>
      <c r="D22" s="4">
        <f t="shared" ref="D22:G22" si="1">D18-D20</f>
        <v>153.01</v>
      </c>
      <c r="E22" s="4">
        <f t="shared" si="1"/>
        <v>196.25000000000003</v>
      </c>
      <c r="F22" s="4">
        <f t="shared" si="1"/>
        <v>245.42</v>
      </c>
      <c r="G22" s="4">
        <f t="shared" si="1"/>
        <v>325.54999999999995</v>
      </c>
    </row>
    <row r="23" spans="2:7" ht="15" customHeight="1">
      <c r="B23" s="10" t="s">
        <v>27</v>
      </c>
    </row>
    <row r="24" spans="2:7" ht="15" customHeight="1">
      <c r="B24" s="7" t="s">
        <v>12</v>
      </c>
      <c r="C24" s="2">
        <f>DATA!C11</f>
        <v>14.71</v>
      </c>
      <c r="D24" s="2">
        <f>DATA!D11</f>
        <v>30.92</v>
      </c>
      <c r="E24" s="2">
        <f>DATA!E11</f>
        <v>57</v>
      </c>
      <c r="F24" s="2">
        <f>DATA!F11</f>
        <v>46.64</v>
      </c>
      <c r="G24" s="2">
        <f>DATA!G11</f>
        <v>22.78</v>
      </c>
    </row>
    <row r="25" spans="2:7" ht="15" customHeight="1">
      <c r="B25" s="8"/>
      <c r="C25" s="3"/>
      <c r="D25" s="3"/>
      <c r="E25" s="3"/>
      <c r="F25" s="3"/>
      <c r="G25" s="3"/>
    </row>
    <row r="26" spans="2:7" ht="15" customHeight="1">
      <c r="B26" s="8" t="s">
        <v>13</v>
      </c>
      <c r="C26" s="3">
        <f>DATA!C12</f>
        <v>346.13</v>
      </c>
      <c r="D26" s="3">
        <f>DATA!D12</f>
        <v>122.51</v>
      </c>
      <c r="E26" s="3">
        <f>DATA!E12</f>
        <v>130.07</v>
      </c>
      <c r="F26" s="3">
        <f>DATA!F12</f>
        <v>0</v>
      </c>
      <c r="G26" s="3">
        <f>DATA!G12</f>
        <v>0</v>
      </c>
    </row>
    <row r="27" spans="2:7" ht="15" customHeight="1">
      <c r="B27" s="8"/>
      <c r="C27" s="3"/>
      <c r="D27" s="3"/>
      <c r="E27" s="3"/>
      <c r="F27" s="3"/>
      <c r="G27" s="3"/>
    </row>
    <row r="28" spans="2:7" ht="15" customHeight="1">
      <c r="B28" s="8" t="s">
        <v>14</v>
      </c>
      <c r="C28" s="3">
        <f>C26-C24</f>
        <v>331.42</v>
      </c>
      <c r="D28" s="3">
        <f t="shared" ref="D28:G28" si="2">D26-D24</f>
        <v>91.59</v>
      </c>
      <c r="E28" s="3">
        <f t="shared" si="2"/>
        <v>73.069999999999993</v>
      </c>
      <c r="F28" s="3">
        <f t="shared" si="2"/>
        <v>-46.64</v>
      </c>
      <c r="G28" s="3">
        <f t="shared" si="2"/>
        <v>-22.78</v>
      </c>
    </row>
    <row r="29" spans="2:7" ht="15" customHeight="1">
      <c r="B29" s="8"/>
      <c r="C29" s="3"/>
      <c r="D29" s="3"/>
      <c r="E29" s="3"/>
      <c r="F29" s="3"/>
      <c r="G29" s="3"/>
    </row>
    <row r="30" spans="2:7" ht="15" customHeight="1">
      <c r="B30" s="8" t="s">
        <v>15</v>
      </c>
      <c r="C30" s="3">
        <f>DATA!C13</f>
        <v>107.87</v>
      </c>
      <c r="D30" s="3">
        <f>DATA!D13</f>
        <v>107.06</v>
      </c>
      <c r="E30" s="3">
        <f>DATA!E13</f>
        <v>117.64</v>
      </c>
      <c r="F30" s="3">
        <f>DATA!F13</f>
        <v>143.5</v>
      </c>
      <c r="G30" s="3">
        <f>DATA!G13</f>
        <v>179.67</v>
      </c>
    </row>
    <row r="31" spans="2:7" ht="15" customHeight="1">
      <c r="B31" s="8"/>
      <c r="C31" s="3"/>
      <c r="D31" s="3"/>
      <c r="E31" s="3"/>
      <c r="F31" s="3"/>
      <c r="G31" s="3"/>
    </row>
    <row r="32" spans="2:7" ht="15" customHeight="1">
      <c r="B32" s="8" t="s">
        <v>16</v>
      </c>
      <c r="C32" s="3">
        <f>DATA!C14</f>
        <v>25.05</v>
      </c>
      <c r="D32" s="3">
        <f>DATA!D14</f>
        <v>23.94</v>
      </c>
      <c r="E32" s="3">
        <f>DATA!E14</f>
        <v>24.69</v>
      </c>
      <c r="F32" s="3">
        <f>DATA!F14</f>
        <v>40.159999999999997</v>
      </c>
      <c r="G32" s="3">
        <f>DATA!G14</f>
        <v>66.94</v>
      </c>
    </row>
    <row r="33" spans="2:12" ht="15" customHeight="1">
      <c r="B33" s="8"/>
      <c r="C33" s="3"/>
      <c r="D33" s="3"/>
      <c r="E33" s="3"/>
      <c r="F33" s="3"/>
      <c r="G33" s="3"/>
    </row>
    <row r="34" spans="2:12" ht="15" customHeight="1">
      <c r="B34" s="8" t="s">
        <v>17</v>
      </c>
      <c r="C34" s="37" t="str">
        <f>DATA!C15</f>
        <v>Nil</v>
      </c>
      <c r="D34" s="37" t="str">
        <f>DATA!D15</f>
        <v>Nil</v>
      </c>
      <c r="E34" s="37" t="str">
        <f>DATA!E15</f>
        <v>Nil</v>
      </c>
      <c r="F34" s="37" t="str">
        <f>DATA!F15</f>
        <v>Nil</v>
      </c>
      <c r="G34" s="37" t="str">
        <f>DATA!G15</f>
        <v>Nil</v>
      </c>
    </row>
    <row r="35" spans="2:12" ht="15" customHeight="1">
      <c r="B35" s="8"/>
      <c r="C35" s="3"/>
      <c r="D35" s="3"/>
      <c r="E35" s="3"/>
      <c r="F35" s="3"/>
      <c r="G35" s="3"/>
    </row>
    <row r="36" spans="2:12" ht="15" customHeight="1">
      <c r="B36" s="9" t="s">
        <v>18</v>
      </c>
      <c r="C36" s="4">
        <f>C30-C32</f>
        <v>82.820000000000007</v>
      </c>
      <c r="D36" s="4">
        <f t="shared" ref="D36:G36" si="3">D30-D32</f>
        <v>83.12</v>
      </c>
      <c r="E36" s="4">
        <f t="shared" si="3"/>
        <v>92.95</v>
      </c>
      <c r="F36" s="4">
        <f t="shared" si="3"/>
        <v>103.34</v>
      </c>
      <c r="G36" s="4">
        <f t="shared" si="3"/>
        <v>112.72999999999999</v>
      </c>
    </row>
    <row r="37" spans="2:12" ht="15" customHeight="1">
      <c r="B37" s="10" t="s">
        <v>28</v>
      </c>
    </row>
    <row r="38" spans="2:12" ht="15" customHeight="1">
      <c r="B38" s="7" t="s">
        <v>19</v>
      </c>
      <c r="C38" s="2">
        <f>DATA!C17</f>
        <v>202.38</v>
      </c>
      <c r="D38" s="2">
        <f>DATA!D17</f>
        <v>256.27</v>
      </c>
      <c r="E38" s="2">
        <f>DATA!E17</f>
        <v>232.02</v>
      </c>
      <c r="F38" s="2">
        <f>DATA!F17</f>
        <v>286.33999999999997</v>
      </c>
      <c r="G38" s="2">
        <f>DATA!G17</f>
        <v>393.31</v>
      </c>
    </row>
    <row r="39" spans="2:12" ht="15" customHeight="1">
      <c r="B39" s="8"/>
      <c r="C39" s="3"/>
      <c r="D39" s="3"/>
      <c r="E39" s="3"/>
      <c r="F39" s="3"/>
      <c r="G39" s="3"/>
    </row>
    <row r="40" spans="2:12" ht="15" customHeight="1">
      <c r="B40" s="8" t="s">
        <v>20</v>
      </c>
      <c r="C40" s="3">
        <f>DATA!C18</f>
        <v>30.32</v>
      </c>
      <c r="D40" s="3">
        <f>DATA!D18</f>
        <v>66.760000000000005</v>
      </c>
      <c r="E40" s="3">
        <f>DATA!E18</f>
        <v>65.59</v>
      </c>
      <c r="F40" s="3">
        <f>DATA!F18</f>
        <v>79.67</v>
      </c>
      <c r="G40" s="3">
        <f>DATA!G18</f>
        <v>85.66</v>
      </c>
      <c r="H40" s="42"/>
      <c r="I40" s="42"/>
      <c r="J40" s="42"/>
      <c r="K40" s="42"/>
      <c r="L40" s="42"/>
    </row>
    <row r="41" spans="2:12" ht="15" customHeight="1">
      <c r="B41" s="8"/>
      <c r="C41" s="3"/>
      <c r="D41" s="3"/>
      <c r="E41" s="3"/>
      <c r="F41" s="3"/>
      <c r="G41" s="3"/>
    </row>
    <row r="42" spans="2:12" ht="15" customHeight="1">
      <c r="B42" s="8" t="s">
        <v>21</v>
      </c>
      <c r="C42" s="3">
        <f>C38-C40</f>
        <v>172.06</v>
      </c>
      <c r="D42" s="3">
        <f t="shared" ref="D42:G42" si="4">D38-D40</f>
        <v>189.51</v>
      </c>
      <c r="E42" s="3">
        <f t="shared" si="4"/>
        <v>166.43</v>
      </c>
      <c r="F42" s="3">
        <f t="shared" si="4"/>
        <v>206.66999999999996</v>
      </c>
      <c r="G42" s="3">
        <f t="shared" si="4"/>
        <v>307.64999999999998</v>
      </c>
      <c r="H42" s="50"/>
    </row>
    <row r="43" spans="2:12" ht="15" customHeight="1">
      <c r="B43" s="8"/>
      <c r="C43" s="3"/>
      <c r="D43" s="3"/>
      <c r="E43" s="3"/>
      <c r="F43" s="3"/>
      <c r="G43" s="3"/>
    </row>
    <row r="44" spans="2:12" ht="15" customHeight="1">
      <c r="B44" s="9" t="s">
        <v>22</v>
      </c>
      <c r="C44" s="4">
        <f>DATA!C20</f>
        <v>0</v>
      </c>
      <c r="D44" s="4">
        <f>DATA!D20</f>
        <v>0</v>
      </c>
      <c r="E44" s="4">
        <f>DATA!E20</f>
        <v>0</v>
      </c>
      <c r="F44" s="4">
        <f>DATA!F20</f>
        <v>0</v>
      </c>
      <c r="G44" s="4">
        <f>DATA!G20</f>
        <v>98.52</v>
      </c>
    </row>
    <row r="45" spans="2:12" ht="15" customHeight="1">
      <c r="B45" s="10" t="s">
        <v>29</v>
      </c>
    </row>
    <row r="46" spans="2:12" ht="15" customHeight="1">
      <c r="B46" s="7" t="s">
        <v>2</v>
      </c>
      <c r="C46" s="20" t="s">
        <v>62</v>
      </c>
      <c r="D46" s="23">
        <f>D8/C8-1</f>
        <v>0.32412726000975023</v>
      </c>
      <c r="E46" s="23">
        <f t="shared" ref="E46:G46" si="5">E8/D8-1</f>
        <v>0.11483728450000807</v>
      </c>
      <c r="F46" s="23">
        <f t="shared" si="5"/>
        <v>0.16423289539809027</v>
      </c>
      <c r="G46" s="23">
        <f t="shared" si="5"/>
        <v>0.3017525251902371</v>
      </c>
    </row>
    <row r="47" spans="2:12" ht="15" customHeight="1">
      <c r="B47" s="8"/>
      <c r="C47" s="3"/>
      <c r="D47" s="3"/>
      <c r="E47" s="3"/>
      <c r="F47" s="3"/>
      <c r="G47" s="3"/>
    </row>
    <row r="48" spans="2:12" ht="15" customHeight="1">
      <c r="B48" s="8" t="s">
        <v>4</v>
      </c>
      <c r="C48" s="21">
        <f>C10/C8</f>
        <v>0.45407914538247945</v>
      </c>
      <c r="D48" s="21">
        <f t="shared" ref="D48:G48" si="6">D10/D8</f>
        <v>0.47482832034063804</v>
      </c>
      <c r="E48" s="21">
        <f t="shared" si="6"/>
        <v>0.45009692009476632</v>
      </c>
      <c r="F48" s="21">
        <f t="shared" si="6"/>
        <v>0.47123318081472065</v>
      </c>
      <c r="G48" s="21">
        <f t="shared" si="6"/>
        <v>0.47575556608242542</v>
      </c>
    </row>
    <row r="49" spans="2:7" ht="15" customHeight="1">
      <c r="B49" s="8"/>
      <c r="C49" s="21"/>
      <c r="D49" s="21"/>
      <c r="E49" s="21"/>
      <c r="F49" s="21"/>
      <c r="G49" s="21"/>
    </row>
    <row r="50" spans="2:7" ht="15" customHeight="1">
      <c r="B50" s="8" t="s">
        <v>23</v>
      </c>
      <c r="C50" s="21">
        <f>C14/C8</f>
        <v>0.24655037198753679</v>
      </c>
      <c r="D50" s="21">
        <f t="shared" ref="D50:G50" si="7">D14/D8</f>
        <v>0.41692945526724395</v>
      </c>
      <c r="E50" s="21">
        <f t="shared" si="7"/>
        <v>0.38770909613037541</v>
      </c>
      <c r="F50" s="21">
        <f t="shared" si="7"/>
        <v>0.41126993327824574</v>
      </c>
      <c r="G50" s="21">
        <f t="shared" si="7"/>
        <v>0.41954523922311698</v>
      </c>
    </row>
    <row r="51" spans="2:7" ht="15" customHeight="1">
      <c r="B51" s="8"/>
      <c r="C51" s="21"/>
      <c r="D51" s="21"/>
      <c r="E51" s="21"/>
      <c r="F51" s="21"/>
      <c r="G51" s="21"/>
    </row>
    <row r="52" spans="2:7" ht="15" customHeight="1">
      <c r="B52" s="8" t="s">
        <v>11</v>
      </c>
      <c r="C52" s="21">
        <f>C22/C8</f>
        <v>-0.14266940799932173</v>
      </c>
      <c r="D52" s="21">
        <f t="shared" ref="D52:G52" si="8">D22/D8</f>
        <v>0.24492964735637332</v>
      </c>
      <c r="E52" s="21">
        <f t="shared" si="8"/>
        <v>0.28178620145021183</v>
      </c>
      <c r="F52" s="21">
        <f t="shared" si="8"/>
        <v>0.30267750329908855</v>
      </c>
      <c r="G52" s="21">
        <f t="shared" si="8"/>
        <v>0.30843202273803882</v>
      </c>
    </row>
    <row r="53" spans="2:7" ht="15" customHeight="1">
      <c r="B53" s="8"/>
      <c r="C53" s="21"/>
      <c r="D53" s="21"/>
      <c r="E53" s="21"/>
      <c r="F53" s="21"/>
      <c r="G53" s="21"/>
    </row>
    <row r="54" spans="2:7" ht="15" customHeight="1">
      <c r="B54" s="8" t="s">
        <v>24</v>
      </c>
      <c r="C54" s="51">
        <f>C26/C10</f>
        <v>1.6156934136208747</v>
      </c>
      <c r="D54" s="51">
        <f t="shared" ref="D54:G54" si="9">D26/D10</f>
        <v>0.41300610187776021</v>
      </c>
      <c r="E54" s="51">
        <f t="shared" si="9"/>
        <v>0.414936038536383</v>
      </c>
      <c r="F54" s="51">
        <f t="shared" si="9"/>
        <v>0</v>
      </c>
      <c r="G54" s="51">
        <f t="shared" si="9"/>
        <v>0</v>
      </c>
    </row>
    <row r="55" spans="2:7" ht="15" customHeight="1">
      <c r="B55" s="8"/>
      <c r="C55" s="21"/>
      <c r="D55" s="21"/>
      <c r="E55" s="21"/>
      <c r="F55" s="21"/>
      <c r="G55" s="21"/>
    </row>
    <row r="56" spans="2:7" ht="15" customHeight="1">
      <c r="B56" s="9" t="s">
        <v>25</v>
      </c>
      <c r="C56" s="22">
        <f>C42/C10</f>
        <v>0.80315548709331097</v>
      </c>
      <c r="D56" s="22">
        <f t="shared" ref="D56:G56" si="10">D42/D10</f>
        <v>0.63887671509961907</v>
      </c>
      <c r="E56" s="22">
        <f t="shared" si="10"/>
        <v>0.53092799948958436</v>
      </c>
      <c r="F56" s="22">
        <f t="shared" si="10"/>
        <v>0.54089350676542169</v>
      </c>
      <c r="G56" s="22">
        <f t="shared" si="10"/>
        <v>0.61265333758164719</v>
      </c>
    </row>
    <row r="58" spans="2:7" ht="15" customHeight="1">
      <c r="B58" s="129" t="s">
        <v>173</v>
      </c>
      <c r="C58" s="129"/>
      <c r="D58" s="129"/>
      <c r="E58" s="129"/>
      <c r="F58" s="129"/>
      <c r="G58" s="129"/>
    </row>
  </sheetData>
  <mergeCells count="3">
    <mergeCell ref="C1:G4"/>
    <mergeCell ref="B1:B4"/>
    <mergeCell ref="B58:G58"/>
  </mergeCells>
  <printOptions horizontalCentered="1"/>
  <pageMargins left="0" right="0" top="0" bottom="0" header="0" footer="0"/>
  <pageSetup scale="88"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5B660-A4FA-4456-9D35-221770DC3233}">
  <sheetPr>
    <pageSetUpPr fitToPage="1"/>
  </sheetPr>
  <dimension ref="B1:G58"/>
  <sheetViews>
    <sheetView zoomScaleNormal="100" workbookViewId="0"/>
  </sheetViews>
  <sheetFormatPr defaultColWidth="15.77734375" defaultRowHeight="15" customHeight="1"/>
  <cols>
    <col min="1" max="1" width="2" style="1" customWidth="1"/>
    <col min="2" max="2" width="25.77734375" style="1" customWidth="1"/>
    <col min="3" max="16384" width="15.77734375" style="1"/>
  </cols>
  <sheetData>
    <row r="1" spans="2:7" ht="15.6">
      <c r="B1" s="127" t="s">
        <v>30</v>
      </c>
      <c r="C1" s="128" t="s">
        <v>32</v>
      </c>
      <c r="D1" s="128"/>
      <c r="E1" s="128"/>
      <c r="F1" s="128"/>
      <c r="G1" s="128"/>
    </row>
    <row r="2" spans="2:7" ht="15.6">
      <c r="B2" s="127"/>
      <c r="C2" s="128"/>
      <c r="D2" s="128"/>
      <c r="E2" s="128"/>
      <c r="F2" s="128"/>
      <c r="G2" s="128"/>
    </row>
    <row r="3" spans="2:7" ht="15.6">
      <c r="B3" s="127"/>
      <c r="C3" s="128"/>
      <c r="D3" s="128"/>
      <c r="E3" s="128"/>
      <c r="F3" s="128"/>
      <c r="G3" s="128"/>
    </row>
    <row r="4" spans="2:7" ht="15.6">
      <c r="B4" s="127"/>
      <c r="C4" s="128"/>
      <c r="D4" s="128"/>
      <c r="E4" s="128"/>
      <c r="F4" s="128"/>
      <c r="G4" s="128"/>
    </row>
    <row r="6" spans="2:7" ht="15" customHeight="1">
      <c r="B6" s="6" t="s">
        <v>0</v>
      </c>
      <c r="C6" s="5">
        <v>2026</v>
      </c>
      <c r="D6" s="5">
        <f>C6+1</f>
        <v>2027</v>
      </c>
      <c r="E6" s="5">
        <f t="shared" ref="E6:G6" si="0">D6+1</f>
        <v>2028</v>
      </c>
      <c r="F6" s="5">
        <f t="shared" si="0"/>
        <v>2029</v>
      </c>
      <c r="G6" s="5">
        <f t="shared" si="0"/>
        <v>2030</v>
      </c>
    </row>
    <row r="7" spans="2:7" ht="15" customHeight="1">
      <c r="B7" s="10" t="s">
        <v>26</v>
      </c>
    </row>
    <row r="8" spans="2:7" ht="15" customHeight="1">
      <c r="B8" s="2" t="s">
        <v>1</v>
      </c>
      <c r="C8" s="2">
        <f>'HISTORICAL DATA'!$G$8+('HISTORICAL DATA'!$G$8*ASSUMPTIONS!$C$9)</f>
        <v>1238.1042331566905</v>
      </c>
      <c r="D8" s="2">
        <f>C$8+(C$8*ASSUMPTIONS!D$9)</f>
        <v>1452.2994714926733</v>
      </c>
      <c r="E8" s="2">
        <f>D$8+(D$8*ASSUMPTIONS!E$9)</f>
        <v>1703.5510407070615</v>
      </c>
      <c r="F8" s="2">
        <f>E$8+(E$8*ASSUMPTIONS!F$9)</f>
        <v>1998.2697819970615</v>
      </c>
      <c r="G8" s="2">
        <f>F$8+(F$8*ASSUMPTIONS!G$9)</f>
        <v>2343.9756286875026</v>
      </c>
    </row>
    <row r="9" spans="2:7" ht="15" customHeight="1">
      <c r="B9" s="3"/>
      <c r="C9" s="3"/>
      <c r="D9" s="3"/>
      <c r="E9" s="3"/>
      <c r="F9" s="3"/>
      <c r="G9" s="3"/>
    </row>
    <row r="10" spans="2:7" ht="15" customHeight="1">
      <c r="B10" s="3" t="s">
        <v>3</v>
      </c>
      <c r="C10" s="3">
        <f>C$8*ASSUMPTIONS!C$12</f>
        <v>575.96438878157414</v>
      </c>
      <c r="D10" s="3">
        <f>D$8*ASSUMPTIONS!D$12</f>
        <v>675.60771946752516</v>
      </c>
      <c r="E10" s="3">
        <f>E$8*ASSUMPTIONS!E$12</f>
        <v>792.48960438283359</v>
      </c>
      <c r="F10" s="3">
        <f>F$8*ASSUMPTIONS!F$12</f>
        <v>929.59235804742514</v>
      </c>
      <c r="G10" s="3">
        <f>G$8*ASSUMPTIONS!G$12</f>
        <v>1090.4142431157054</v>
      </c>
    </row>
    <row r="11" spans="2:7" ht="15" customHeight="1">
      <c r="B11" s="3"/>
      <c r="C11" s="3"/>
      <c r="D11" s="3"/>
      <c r="E11" s="3"/>
      <c r="F11" s="3"/>
      <c r="G11" s="3"/>
    </row>
    <row r="12" spans="2:7" ht="15" customHeight="1">
      <c r="B12" s="3" t="s">
        <v>5</v>
      </c>
      <c r="C12" s="3">
        <f>C$8*ASSUMPTIONS!C$15</f>
        <v>73.171960179560415</v>
      </c>
      <c r="D12" s="3">
        <f>D$8*ASSUMPTIONS!D$15</f>
        <v>85.830898765216986</v>
      </c>
      <c r="E12" s="3">
        <f>E$8*ASSUMPTIONS!E$15</f>
        <v>100.67986650578733</v>
      </c>
      <c r="F12" s="3">
        <f>F$8*ASSUMPTIONS!F$15</f>
        <v>118.09774411602633</v>
      </c>
      <c r="G12" s="3">
        <f>G$8*ASSUMPTIONS!G$15</f>
        <v>138.52895965543141</v>
      </c>
    </row>
    <row r="13" spans="2:7" ht="15" customHeight="1">
      <c r="B13" s="3"/>
      <c r="C13" s="3"/>
      <c r="D13" s="3"/>
      <c r="E13" s="3"/>
      <c r="F13" s="3"/>
      <c r="G13" s="3"/>
    </row>
    <row r="14" spans="2:7" ht="15" customHeight="1">
      <c r="B14" s="3" t="s">
        <v>6</v>
      </c>
      <c r="C14" s="3">
        <f>C10-C12</f>
        <v>502.79242860201373</v>
      </c>
      <c r="D14" s="3">
        <f t="shared" ref="D14:G14" si="1">D10-D12</f>
        <v>589.77682070230821</v>
      </c>
      <c r="E14" s="3">
        <f t="shared" si="1"/>
        <v>691.80973787704625</v>
      </c>
      <c r="F14" s="3">
        <f t="shared" si="1"/>
        <v>811.49461393139882</v>
      </c>
      <c r="G14" s="3">
        <f t="shared" si="1"/>
        <v>951.88528346027397</v>
      </c>
    </row>
    <row r="15" spans="2:7" ht="15" customHeight="1">
      <c r="B15" s="3"/>
      <c r="C15" s="3"/>
      <c r="D15" s="3"/>
      <c r="E15" s="3"/>
      <c r="F15" s="3"/>
      <c r="G15" s="3"/>
    </row>
    <row r="16" spans="2:7" ht="15" customHeight="1">
      <c r="B16" s="3" t="s">
        <v>7</v>
      </c>
      <c r="C16" s="3">
        <f>'DEBT SCHEDULE'!C12</f>
        <v>146.84787027027025</v>
      </c>
      <c r="D16" s="3">
        <f>'DEBT SCHEDULE'!D12</f>
        <v>60.2592</v>
      </c>
      <c r="E16" s="3">
        <f>'DEBT SCHEDULE'!E12</f>
        <v>25.015711135135135</v>
      </c>
      <c r="F16" s="3">
        <f>'DEBT SCHEDULE'!F12</f>
        <v>10.553503135135138</v>
      </c>
      <c r="G16" s="3">
        <f>'DEBT SCHEDULE'!G12</f>
        <v>8.4037154594594625</v>
      </c>
    </row>
    <row r="17" spans="2:7" ht="15" customHeight="1">
      <c r="B17" s="3"/>
      <c r="C17" s="3"/>
      <c r="D17" s="3"/>
      <c r="E17" s="3"/>
      <c r="F17" s="3"/>
      <c r="G17" s="3"/>
    </row>
    <row r="18" spans="2:7" ht="15" customHeight="1">
      <c r="B18" s="3" t="s">
        <v>8</v>
      </c>
      <c r="C18" s="3">
        <f>C14-C16</f>
        <v>355.94455833174345</v>
      </c>
      <c r="D18" s="3">
        <f t="shared" ref="D18:G18" si="2">D14-D16</f>
        <v>529.51762070230825</v>
      </c>
      <c r="E18" s="3">
        <f t="shared" si="2"/>
        <v>666.79402674191113</v>
      </c>
      <c r="F18" s="3">
        <f t="shared" si="2"/>
        <v>800.94111079626373</v>
      </c>
      <c r="G18" s="3">
        <f t="shared" si="2"/>
        <v>943.48156800081449</v>
      </c>
    </row>
    <row r="19" spans="2:7" ht="15" customHeight="1">
      <c r="B19" s="3"/>
      <c r="C19" s="3"/>
      <c r="D19" s="3"/>
      <c r="E19" s="3"/>
      <c r="F19" s="3"/>
      <c r="G19" s="3"/>
    </row>
    <row r="20" spans="2:7" ht="15" customHeight="1">
      <c r="B20" s="3" t="s">
        <v>9</v>
      </c>
      <c r="C20" s="3">
        <f>C18*ASSUMPTIONS!$C$26</f>
        <v>88.986139582935863</v>
      </c>
      <c r="D20" s="3">
        <f>D18*ASSUMPTIONS!$C$26</f>
        <v>132.37940517557706</v>
      </c>
      <c r="E20" s="3">
        <f>E18*ASSUMPTIONS!$C$26</f>
        <v>166.69850668547778</v>
      </c>
      <c r="F20" s="3">
        <f>F18*ASSUMPTIONS!$C$26</f>
        <v>200.23527769906593</v>
      </c>
      <c r="G20" s="3">
        <f>G18*ASSUMPTIONS!$C$26</f>
        <v>235.87039200020362</v>
      </c>
    </row>
    <row r="21" spans="2:7" ht="15" customHeight="1">
      <c r="B21" s="3"/>
      <c r="C21" s="21"/>
      <c r="D21" s="21"/>
      <c r="E21" s="21"/>
      <c r="F21" s="21"/>
      <c r="G21" s="21"/>
    </row>
    <row r="22" spans="2:7" ht="15" customHeight="1">
      <c r="B22" s="4" t="s">
        <v>10</v>
      </c>
      <c r="C22" s="4">
        <f>C18-C20</f>
        <v>266.95841874880762</v>
      </c>
      <c r="D22" s="4">
        <f t="shared" ref="D22:G22" si="3">D18-D20</f>
        <v>397.13821552673119</v>
      </c>
      <c r="E22" s="4">
        <f t="shared" si="3"/>
        <v>500.09552005643332</v>
      </c>
      <c r="F22" s="4">
        <f t="shared" si="3"/>
        <v>600.7058330971978</v>
      </c>
      <c r="G22" s="4">
        <f t="shared" si="3"/>
        <v>707.61117600061084</v>
      </c>
    </row>
    <row r="23" spans="2:7" ht="15" customHeight="1">
      <c r="B23" s="10" t="s">
        <v>27</v>
      </c>
    </row>
    <row r="24" spans="2:7" ht="15" customHeight="1">
      <c r="B24" s="7" t="s">
        <v>12</v>
      </c>
      <c r="C24" s="2">
        <f>'HISTORICAL DATA'!$G$24+C38-C40-'DEBT SCHEDULE'!C15</f>
        <v>22.78</v>
      </c>
      <c r="D24" s="2">
        <f>C24+D38-D40-'DEBT SCHEDULE'!D15</f>
        <v>22.779999999999973</v>
      </c>
      <c r="E24" s="2">
        <f>D24+E38-E40-'DEBT SCHEDULE'!E15</f>
        <v>22.779999999999916</v>
      </c>
      <c r="F24" s="2">
        <f>E24+F38-F40-'DEBT SCHEDULE'!F15</f>
        <v>22.779999999999916</v>
      </c>
      <c r="G24" s="2">
        <f>F24+G38-G40-'DEBT SCHEDULE'!G15</f>
        <v>22.779999999999859</v>
      </c>
    </row>
    <row r="25" spans="2:7" ht="15" customHeight="1">
      <c r="B25" s="8"/>
      <c r="C25" s="3"/>
      <c r="D25" s="3"/>
      <c r="E25" s="3"/>
      <c r="F25" s="3"/>
      <c r="G25" s="3"/>
    </row>
    <row r="26" spans="2:7" ht="15" customHeight="1">
      <c r="B26" s="8" t="s">
        <v>13</v>
      </c>
      <c r="C26" s="3">
        <f>'DEBT SCHEDULE'!C17</f>
        <v>2590.2664584561421</v>
      </c>
      <c r="D26" s="3">
        <f>'DEBT SCHEDULE'!D17</f>
        <v>2274.2391451751573</v>
      </c>
      <c r="E26" s="3">
        <f>'DEBT SCHEDULE'!E17</f>
        <v>1869.286923485012</v>
      </c>
      <c r="F26" s="3">
        <f>'DEBT SCHEDULE'!F17</f>
        <v>1380.1844257395824</v>
      </c>
      <c r="G26" s="3">
        <f>'DEBT SCHEDULE'!G17</f>
        <v>803.48425109702896</v>
      </c>
    </row>
    <row r="27" spans="2:7" ht="15" customHeight="1">
      <c r="B27" s="8"/>
      <c r="C27" s="3"/>
      <c r="D27" s="3"/>
      <c r="E27" s="3"/>
      <c r="F27" s="3"/>
      <c r="G27" s="3"/>
    </row>
    <row r="28" spans="2:7" ht="15" customHeight="1">
      <c r="B28" s="8" t="s">
        <v>14</v>
      </c>
      <c r="C28" s="3">
        <f>C26-C24</f>
        <v>2567.4864584561419</v>
      </c>
      <c r="D28" s="3">
        <f t="shared" ref="D28:G28" si="4">D26-D24</f>
        <v>2251.4591451751576</v>
      </c>
      <c r="E28" s="3">
        <f t="shared" si="4"/>
        <v>1846.5069234850121</v>
      </c>
      <c r="F28" s="3">
        <f t="shared" si="4"/>
        <v>1357.4044257395824</v>
      </c>
      <c r="G28" s="3">
        <f t="shared" si="4"/>
        <v>780.7042510970291</v>
      </c>
    </row>
    <row r="29" spans="2:7" ht="15" customHeight="1">
      <c r="B29" s="8"/>
      <c r="C29" s="3"/>
      <c r="D29" s="3"/>
      <c r="E29" s="3"/>
      <c r="F29" s="3"/>
      <c r="G29" s="3"/>
    </row>
    <row r="30" spans="2:7" ht="15" customHeight="1">
      <c r="B30" s="8" t="s">
        <v>15</v>
      </c>
      <c r="C30" s="3">
        <f>C8*(ASSUMPTIONS!$G$33/365)</f>
        <v>283.0799797168491</v>
      </c>
      <c r="D30" s="3">
        <f>D8*(ASSUMPTIONS!$G$33/365)</f>
        <v>332.05354922722967</v>
      </c>
      <c r="E30" s="3">
        <f>E8*(ASSUMPTIONS!$G$33/365)</f>
        <v>389.49967307715457</v>
      </c>
      <c r="F30" s="3">
        <f>F8*(ASSUMPTIONS!$G$33/365)</f>
        <v>456.88412510655814</v>
      </c>
      <c r="G30" s="3">
        <f>G8*(ASSUMPTIONS!$G$33/365)</f>
        <v>535.92626182522088</v>
      </c>
    </row>
    <row r="31" spans="2:7" ht="15" customHeight="1">
      <c r="B31" s="8"/>
      <c r="C31" s="3"/>
      <c r="D31" s="3"/>
      <c r="E31" s="3"/>
      <c r="F31" s="3"/>
      <c r="G31" s="3"/>
    </row>
    <row r="32" spans="2:7" ht="15" customHeight="1">
      <c r="B32" s="8" t="s">
        <v>16</v>
      </c>
      <c r="C32" s="3">
        <f>ASSUMPTIONS!$G$34*(('OPERATING FORECAST'!C8-'OPERATING FORECAST'!C10)/365)</f>
        <v>64.398987038347045</v>
      </c>
      <c r="D32" s="3">
        <f>ASSUMPTIONS!$G$34*(('OPERATING FORECAST'!D8-'OPERATING FORECAST'!D10)/365)</f>
        <v>75.540178553463107</v>
      </c>
      <c r="E32" s="3">
        <f>ASSUMPTIONS!$G$34*(('OPERATING FORECAST'!E8-'OPERATING FORECAST'!E10)/365)</f>
        <v>88.608825050170466</v>
      </c>
      <c r="F32" s="3">
        <f>ASSUMPTIONS!$G$34*(('OPERATING FORECAST'!F8-'OPERATING FORECAST'!F10)/365)</f>
        <v>103.93838123131847</v>
      </c>
      <c r="G32" s="3">
        <f>ASSUMPTIONS!$G$34*(('OPERATING FORECAST'!G8-'OPERATING FORECAST'!G10)/365)</f>
        <v>121.9199903268113</v>
      </c>
    </row>
    <row r="33" spans="2:7" ht="15" customHeight="1">
      <c r="B33" s="8"/>
      <c r="C33" s="3"/>
      <c r="D33" s="3"/>
      <c r="E33" s="3"/>
      <c r="F33" s="3"/>
      <c r="G33" s="3"/>
    </row>
    <row r="34" spans="2:7" ht="15" customHeight="1">
      <c r="B34" s="8" t="s">
        <v>17</v>
      </c>
      <c r="C34" s="3">
        <v>0</v>
      </c>
      <c r="D34" s="3">
        <v>0</v>
      </c>
      <c r="E34" s="3">
        <v>0</v>
      </c>
      <c r="F34" s="3">
        <v>0</v>
      </c>
      <c r="G34" s="3">
        <v>0</v>
      </c>
    </row>
    <row r="35" spans="2:7" ht="15" customHeight="1">
      <c r="B35" s="8"/>
      <c r="C35" s="3"/>
      <c r="D35" s="3"/>
      <c r="E35" s="3"/>
      <c r="F35" s="3"/>
      <c r="G35" s="3"/>
    </row>
    <row r="36" spans="2:7" ht="15" customHeight="1">
      <c r="B36" s="9" t="s">
        <v>18</v>
      </c>
      <c r="C36" s="4">
        <f>C30-C32</f>
        <v>218.68099267850204</v>
      </c>
      <c r="D36" s="4">
        <f t="shared" ref="D36:G36" si="5">D30-D32</f>
        <v>256.51337067376653</v>
      </c>
      <c r="E36" s="4">
        <f t="shared" si="5"/>
        <v>300.89084802698409</v>
      </c>
      <c r="F36" s="4">
        <f t="shared" si="5"/>
        <v>352.94574387523966</v>
      </c>
      <c r="G36" s="4">
        <f t="shared" si="5"/>
        <v>414.00627149840955</v>
      </c>
    </row>
    <row r="37" spans="2:7" ht="15" customHeight="1">
      <c r="B37" s="10" t="s">
        <v>28</v>
      </c>
    </row>
    <row r="38" spans="2:7" ht="15" customHeight="1">
      <c r="B38" s="7" t="s">
        <v>19</v>
      </c>
      <c r="C38" s="2">
        <f>C40+C42</f>
        <v>234.17938624986601</v>
      </c>
      <c r="D38" s="2">
        <f t="shared" ref="D38:G38" si="6">D40+D42</f>
        <v>445.13673629668358</v>
      </c>
      <c r="E38" s="2">
        <f t="shared" si="6"/>
        <v>556.39790920900305</v>
      </c>
      <c r="F38" s="2">
        <f t="shared" si="6"/>
        <v>666.74868136496855</v>
      </c>
      <c r="G38" s="2">
        <f t="shared" si="6"/>
        <v>785.07960803287244</v>
      </c>
    </row>
    <row r="39" spans="2:7" ht="15" customHeight="1">
      <c r="B39" s="8"/>
      <c r="C39" s="3"/>
      <c r="D39" s="3"/>
      <c r="E39" s="3"/>
      <c r="F39" s="3"/>
      <c r="G39" s="3"/>
    </row>
    <row r="40" spans="2:7" ht="15" customHeight="1">
      <c r="B40" s="8" t="s">
        <v>20</v>
      </c>
      <c r="C40" s="3">
        <f>C8*ASSUMPTIONS!C18</f>
        <v>110.06746632762979</v>
      </c>
      <c r="D40" s="3">
        <f>D8*ASSUMPTIONS!D18</f>
        <v>129.10942301569867</v>
      </c>
      <c r="E40" s="3">
        <f>E8*ASSUMPTIONS!E18</f>
        <v>151.44568751885777</v>
      </c>
      <c r="F40" s="3">
        <f>F8*ASSUMPTIONS!F18</f>
        <v>177.64618361953879</v>
      </c>
      <c r="G40" s="3">
        <f>G8*ASSUMPTIONS!G18</f>
        <v>208.37943339031901</v>
      </c>
    </row>
    <row r="41" spans="2:7" ht="15" customHeight="1">
      <c r="B41" s="8"/>
      <c r="C41" s="3"/>
      <c r="D41" s="3"/>
      <c r="E41" s="3"/>
      <c r="F41" s="3"/>
      <c r="G41" s="3"/>
    </row>
    <row r="42" spans="2:7" ht="15" customHeight="1">
      <c r="B42" s="8" t="s">
        <v>21</v>
      </c>
      <c r="C42" s="3">
        <f>'DEBT SCHEDULE'!C30</f>
        <v>124.11191992223624</v>
      </c>
      <c r="D42" s="3">
        <f>'DEBT SCHEDULE'!D30</f>
        <v>316.02731328098491</v>
      </c>
      <c r="E42" s="3">
        <f>'DEBT SCHEDULE'!E30</f>
        <v>404.95222169014534</v>
      </c>
      <c r="F42" s="3">
        <f>'DEBT SCHEDULE'!F30</f>
        <v>489.10249774542973</v>
      </c>
      <c r="G42" s="3">
        <f>'DEBT SCHEDULE'!G30</f>
        <v>576.70017464255341</v>
      </c>
    </row>
    <row r="43" spans="2:7" ht="15" customHeight="1">
      <c r="B43" s="8"/>
      <c r="C43" s="3"/>
      <c r="D43" s="3"/>
      <c r="E43" s="3"/>
      <c r="F43" s="3"/>
      <c r="G43" s="3"/>
    </row>
    <row r="44" spans="2:7" ht="15" customHeight="1">
      <c r="B44" s="9" t="s">
        <v>22</v>
      </c>
      <c r="C44" s="4">
        <v>0</v>
      </c>
      <c r="D44" s="4">
        <v>0</v>
      </c>
      <c r="E44" s="4">
        <v>0</v>
      </c>
      <c r="F44" s="4">
        <v>0</v>
      </c>
      <c r="G44" s="4">
        <v>0</v>
      </c>
    </row>
    <row r="45" spans="2:7" ht="15" customHeight="1">
      <c r="B45" s="10" t="s">
        <v>29</v>
      </c>
    </row>
    <row r="46" spans="2:7" ht="15" customHeight="1">
      <c r="B46" s="7" t="s">
        <v>2</v>
      </c>
      <c r="C46" s="23">
        <f>ASSUMPTIONS!C9</f>
        <v>0.17300258944262487</v>
      </c>
      <c r="D46" s="23">
        <f>ASSUMPTIONS!D9</f>
        <v>0.17300258944262487</v>
      </c>
      <c r="E46" s="23">
        <f>ASSUMPTIONS!E9</f>
        <v>0.17300258944262487</v>
      </c>
      <c r="F46" s="23">
        <f>ASSUMPTIONS!F9</f>
        <v>0.17300258944262487</v>
      </c>
      <c r="G46" s="23">
        <f>ASSUMPTIONS!G9</f>
        <v>0.17300258944262487</v>
      </c>
    </row>
    <row r="47" spans="2:7" ht="15" customHeight="1">
      <c r="B47" s="8"/>
      <c r="C47" s="21"/>
      <c r="D47" s="21"/>
      <c r="E47" s="21"/>
      <c r="F47" s="21"/>
      <c r="G47" s="21"/>
    </row>
    <row r="48" spans="2:7" ht="15" customHeight="1">
      <c r="B48" s="8" t="s">
        <v>4</v>
      </c>
      <c r="C48" s="21">
        <f>ASSUMPTIONS!C12</f>
        <v>0.46519862654300603</v>
      </c>
      <c r="D48" s="21">
        <f>ASSUMPTIONS!D12</f>
        <v>0.46519862654300603</v>
      </c>
      <c r="E48" s="21">
        <f>ASSUMPTIONS!E12</f>
        <v>0.46519862654300603</v>
      </c>
      <c r="F48" s="21">
        <f>ASSUMPTIONS!F12</f>
        <v>0.46519862654300603</v>
      </c>
      <c r="G48" s="21">
        <f>ASSUMPTIONS!G12</f>
        <v>0.46519862654300603</v>
      </c>
    </row>
    <row r="49" spans="2:7" ht="15" customHeight="1">
      <c r="B49" s="8"/>
      <c r="C49" s="21"/>
      <c r="D49" s="21"/>
      <c r="E49" s="21"/>
      <c r="F49" s="21"/>
      <c r="G49" s="21"/>
    </row>
    <row r="50" spans="2:7" ht="15" customHeight="1">
      <c r="B50" s="8" t="s">
        <v>23</v>
      </c>
      <c r="C50" s="21">
        <f>C14/C8</f>
        <v>0.40609862654300605</v>
      </c>
      <c r="D50" s="21">
        <f t="shared" ref="D50:G50" si="7">D14/D8</f>
        <v>0.40609862654300605</v>
      </c>
      <c r="E50" s="21">
        <f t="shared" si="7"/>
        <v>0.40609862654300605</v>
      </c>
      <c r="F50" s="21">
        <f t="shared" si="7"/>
        <v>0.40609862654300605</v>
      </c>
      <c r="G50" s="21">
        <f t="shared" si="7"/>
        <v>0.40609862654300605</v>
      </c>
    </row>
    <row r="51" spans="2:7" ht="15" customHeight="1">
      <c r="B51" s="8"/>
      <c r="C51" s="21"/>
      <c r="D51" s="21"/>
      <c r="E51" s="21"/>
      <c r="F51" s="21"/>
      <c r="G51" s="21"/>
    </row>
    <row r="52" spans="2:7" ht="15" customHeight="1">
      <c r="B52" s="8" t="s">
        <v>11</v>
      </c>
      <c r="C52" s="21">
        <f>C22/C8</f>
        <v>0.21561869477512902</v>
      </c>
      <c r="D52" s="21">
        <f t="shared" ref="D52:G52" si="8">D22/D8</f>
        <v>0.27345476833269972</v>
      </c>
      <c r="E52" s="21">
        <f t="shared" si="8"/>
        <v>0.29356063194259674</v>
      </c>
      <c r="F52" s="21">
        <f t="shared" si="8"/>
        <v>0.30061297954316019</v>
      </c>
      <c r="G52" s="21">
        <f t="shared" si="8"/>
        <v>0.30188503981879461</v>
      </c>
    </row>
    <row r="53" spans="2:7" ht="15" customHeight="1">
      <c r="B53" s="8"/>
      <c r="C53" s="3"/>
      <c r="D53" s="3"/>
      <c r="E53" s="3"/>
      <c r="F53" s="3"/>
      <c r="G53" s="3"/>
    </row>
    <row r="54" spans="2:7" ht="15" customHeight="1">
      <c r="B54" s="8" t="s">
        <v>24</v>
      </c>
      <c r="C54" s="51">
        <f>C26/C10</f>
        <v>4.4972684230282542</v>
      </c>
      <c r="D54" s="51">
        <f t="shared" ref="D54:G54" si="9">D26/D10</f>
        <v>3.3662124923137067</v>
      </c>
      <c r="E54" s="51">
        <f t="shared" si="9"/>
        <v>2.3587526109452943</v>
      </c>
      <c r="F54" s="51">
        <f t="shared" si="9"/>
        <v>1.4847200644362111</v>
      </c>
      <c r="G54" s="51">
        <f t="shared" si="9"/>
        <v>0.73686147825911152</v>
      </c>
    </row>
    <row r="55" spans="2:7" ht="15" customHeight="1">
      <c r="B55" s="8"/>
      <c r="C55" s="3"/>
      <c r="D55" s="3"/>
      <c r="E55" s="3"/>
      <c r="F55" s="3"/>
      <c r="G55" s="3"/>
    </row>
    <row r="56" spans="2:7" ht="15" customHeight="1">
      <c r="B56" s="9" t="s">
        <v>25</v>
      </c>
      <c r="C56" s="22">
        <f>C42/C10</f>
        <v>0.21548540559042068</v>
      </c>
      <c r="D56" s="22">
        <f t="shared" ref="D56:G56" si="10">D42/D10</f>
        <v>0.46776746945706799</v>
      </c>
      <c r="E56" s="22">
        <f t="shared" si="10"/>
        <v>0.51098742425209431</v>
      </c>
      <c r="F56" s="22">
        <f t="shared" si="10"/>
        <v>0.52614728758395957</v>
      </c>
      <c r="G56" s="22">
        <f t="shared" si="10"/>
        <v>0.5288817330510226</v>
      </c>
    </row>
    <row r="58" spans="2:7" ht="15" customHeight="1">
      <c r="B58" s="129" t="s">
        <v>173</v>
      </c>
      <c r="C58" s="129"/>
      <c r="D58" s="129"/>
      <c r="E58" s="129"/>
      <c r="F58" s="129"/>
      <c r="G58" s="129"/>
    </row>
  </sheetData>
  <mergeCells count="3">
    <mergeCell ref="B1:B4"/>
    <mergeCell ref="C1:G4"/>
    <mergeCell ref="B58:G58"/>
  </mergeCells>
  <printOptions horizontalCentered="1"/>
  <pageMargins left="0" right="0" top="0" bottom="0" header="0" footer="0"/>
  <pageSetup scale="88"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FF1F5-DC0F-4E08-9C3B-03AA9A1F1A35}">
  <sheetPr>
    <pageSetUpPr fitToPage="1"/>
  </sheetPr>
  <dimension ref="B1:G58"/>
  <sheetViews>
    <sheetView zoomScaleNormal="100" workbookViewId="0"/>
  </sheetViews>
  <sheetFormatPr defaultColWidth="15.77734375" defaultRowHeight="15" customHeight="1"/>
  <cols>
    <col min="1" max="1" width="2" style="12" customWidth="1"/>
    <col min="2" max="2" width="25.77734375" style="12" customWidth="1"/>
    <col min="3" max="16384" width="15.77734375" style="12"/>
  </cols>
  <sheetData>
    <row r="1" spans="2:7" ht="15.6">
      <c r="B1" s="127" t="s">
        <v>30</v>
      </c>
      <c r="C1" s="128" t="s">
        <v>102</v>
      </c>
      <c r="D1" s="128"/>
      <c r="E1" s="128"/>
      <c r="F1" s="128"/>
      <c r="G1" s="128"/>
    </row>
    <row r="2" spans="2:7" ht="15.6">
      <c r="B2" s="127"/>
      <c r="C2" s="128"/>
      <c r="D2" s="128"/>
      <c r="E2" s="128"/>
      <c r="F2" s="128"/>
      <c r="G2" s="128"/>
    </row>
    <row r="3" spans="2:7" ht="15.6">
      <c r="B3" s="127"/>
      <c r="C3" s="128"/>
      <c r="D3" s="128"/>
      <c r="E3" s="128"/>
      <c r="F3" s="128"/>
      <c r="G3" s="128"/>
    </row>
    <row r="4" spans="2:7" ht="15.6">
      <c r="B4" s="127"/>
      <c r="C4" s="128"/>
      <c r="D4" s="128"/>
      <c r="E4" s="128"/>
      <c r="F4" s="128"/>
      <c r="G4" s="128"/>
    </row>
    <row r="6" spans="2:7" ht="15" customHeight="1">
      <c r="B6" s="5" t="s">
        <v>0</v>
      </c>
      <c r="C6" s="19" t="s">
        <v>41</v>
      </c>
      <c r="E6" s="157" t="s">
        <v>111</v>
      </c>
      <c r="F6" s="158"/>
      <c r="G6" s="19" t="s">
        <v>112</v>
      </c>
    </row>
    <row r="7" spans="2:7" ht="15" customHeight="1">
      <c r="B7" s="72" t="s">
        <v>102</v>
      </c>
    </row>
    <row r="8" spans="2:7" ht="15" customHeight="1">
      <c r="B8" s="66" t="s">
        <v>81</v>
      </c>
      <c r="C8" s="54">
        <f>ASSUMPTIONS!$G$23</f>
        <v>847.95</v>
      </c>
      <c r="E8" s="64" t="s">
        <v>89</v>
      </c>
      <c r="F8" s="62"/>
      <c r="G8" s="54">
        <f>C23*C27</f>
        <v>2578.6594594594594</v>
      </c>
    </row>
    <row r="9" spans="2:7" ht="15" customHeight="1">
      <c r="B9" s="67" t="s">
        <v>103</v>
      </c>
      <c r="C9" s="13">
        <f>ASSUMPTIONS!$G$24</f>
        <v>17.28</v>
      </c>
      <c r="E9" s="70" t="s">
        <v>113</v>
      </c>
      <c r="F9" s="69"/>
      <c r="G9" s="55">
        <f>C24*C27</f>
        <v>135.71891891891892</v>
      </c>
    </row>
    <row r="10" spans="2:7" ht="15" customHeight="1">
      <c r="C10" s="1"/>
      <c r="E10" s="65" t="s">
        <v>114</v>
      </c>
      <c r="F10" s="82"/>
      <c r="G10" s="4">
        <f>G12-(G8+G9)</f>
        <v>12184.777941621622</v>
      </c>
    </row>
    <row r="11" spans="2:7" ht="15" customHeight="1">
      <c r="B11" s="66" t="s">
        <v>83</v>
      </c>
      <c r="C11" s="54">
        <f>C8*C9</f>
        <v>14652.576000000001</v>
      </c>
    </row>
    <row r="12" spans="2:7" ht="15" customHeight="1">
      <c r="B12" s="67" t="s">
        <v>14</v>
      </c>
      <c r="C12" s="13">
        <f>'HISTORICAL DATA'!G28</f>
        <v>-22.78</v>
      </c>
      <c r="E12" s="61" t="s">
        <v>115</v>
      </c>
      <c r="F12" s="68"/>
      <c r="G12" s="6">
        <f>G19</f>
        <v>14899.15632</v>
      </c>
    </row>
    <row r="13" spans="2:7" ht="15" customHeight="1">
      <c r="C13" s="1"/>
    </row>
    <row r="14" spans="2:7" ht="15" customHeight="1">
      <c r="B14" s="66" t="s">
        <v>104</v>
      </c>
      <c r="C14" s="54">
        <f>C11+C12</f>
        <v>14629.796</v>
      </c>
      <c r="E14" s="157" t="s">
        <v>116</v>
      </c>
      <c r="F14" s="158"/>
      <c r="G14" s="19" t="s">
        <v>112</v>
      </c>
    </row>
    <row r="15" spans="2:7" ht="15" customHeight="1">
      <c r="B15" s="71" t="s">
        <v>105</v>
      </c>
      <c r="C15" s="55">
        <f>'HISTORICAL DATA'!$G$24</f>
        <v>22.78</v>
      </c>
    </row>
    <row r="16" spans="2:7" ht="15" customHeight="1">
      <c r="B16" s="71" t="s">
        <v>106</v>
      </c>
      <c r="C16" s="55">
        <f>'HISTORICAL DATA'!$G$26</f>
        <v>0</v>
      </c>
      <c r="E16" s="159" t="s">
        <v>107</v>
      </c>
      <c r="F16" s="160"/>
      <c r="G16" s="54">
        <f>C17</f>
        <v>14607.016</v>
      </c>
    </row>
    <row r="17" spans="2:7" ht="15" customHeight="1">
      <c r="B17" s="71" t="s">
        <v>107</v>
      </c>
      <c r="C17" s="55">
        <f>C14-C15+C16</f>
        <v>14607.016</v>
      </c>
      <c r="E17" s="65" t="s">
        <v>117</v>
      </c>
      <c r="F17" s="63"/>
      <c r="G17" s="13">
        <f>C18</f>
        <v>292.14031999999997</v>
      </c>
    </row>
    <row r="18" spans="2:7" ht="15" customHeight="1">
      <c r="B18" s="67" t="s">
        <v>109</v>
      </c>
      <c r="C18" s="13">
        <f>2%*C17</f>
        <v>292.14031999999997</v>
      </c>
    </row>
    <row r="19" spans="2:7" ht="15" customHeight="1">
      <c r="C19" s="1"/>
      <c r="E19" s="61" t="s">
        <v>118</v>
      </c>
      <c r="F19" s="68"/>
      <c r="G19" s="6">
        <f>G16+G17</f>
        <v>14899.15632</v>
      </c>
    </row>
    <row r="20" spans="2:7" ht="15" customHeight="1">
      <c r="B20" s="66" t="s">
        <v>108</v>
      </c>
      <c r="C20" s="54">
        <f>C17+C18</f>
        <v>14899.15632</v>
      </c>
    </row>
    <row r="21" spans="2:7" ht="15" customHeight="1">
      <c r="B21" s="67" t="s">
        <v>110</v>
      </c>
      <c r="C21" s="13">
        <f>C14-C15+C16</f>
        <v>14607.016</v>
      </c>
      <c r="E21" s="176" t="s">
        <v>61</v>
      </c>
      <c r="F21" s="176"/>
      <c r="G21" s="177" t="str">
        <f>IF(G12=G19,"Fulfilled","Error")</f>
        <v>Fulfilled</v>
      </c>
    </row>
    <row r="22" spans="2:7" ht="15" customHeight="1">
      <c r="E22" s="176"/>
      <c r="F22" s="176"/>
      <c r="G22" s="177"/>
    </row>
    <row r="23" spans="2:7" ht="15" customHeight="1">
      <c r="B23" s="66" t="s">
        <v>120</v>
      </c>
      <c r="C23" s="100">
        <v>0.95</v>
      </c>
    </row>
    <row r="24" spans="2:7" ht="15" customHeight="1">
      <c r="B24" s="71" t="s">
        <v>121</v>
      </c>
      <c r="C24" s="101">
        <v>0.05</v>
      </c>
      <c r="E24" s="167" t="s">
        <v>171</v>
      </c>
      <c r="F24" s="168"/>
      <c r="G24" s="169"/>
    </row>
    <row r="25" spans="2:7" ht="15" customHeight="1">
      <c r="B25" s="67" t="s">
        <v>119</v>
      </c>
      <c r="C25" s="74">
        <f>G10/G12</f>
        <v>0.81781663873579802</v>
      </c>
      <c r="E25" s="170"/>
      <c r="F25" s="171"/>
      <c r="G25" s="172"/>
    </row>
    <row r="26" spans="2:7" ht="15" customHeight="1">
      <c r="E26" s="170"/>
      <c r="F26" s="171"/>
      <c r="G26" s="172"/>
    </row>
    <row r="27" spans="2:7" ht="15" customHeight="1">
      <c r="B27" s="5" t="s">
        <v>137</v>
      </c>
      <c r="C27" s="78">
        <f>ASSUMPTIONS!C55</f>
        <v>2714.3783783783783</v>
      </c>
      <c r="E27" s="170"/>
      <c r="F27" s="171"/>
      <c r="G27" s="172"/>
    </row>
    <row r="28" spans="2:7" ht="15" customHeight="1">
      <c r="E28" s="170"/>
      <c r="F28" s="171"/>
      <c r="G28" s="172"/>
    </row>
    <row r="29" spans="2:7" ht="15" customHeight="1">
      <c r="B29" s="66" t="s">
        <v>122</v>
      </c>
      <c r="C29" s="100">
        <v>0.09</v>
      </c>
      <c r="E29" s="170"/>
      <c r="F29" s="171"/>
      <c r="G29" s="172"/>
    </row>
    <row r="30" spans="2:7" ht="15" customHeight="1">
      <c r="B30" s="71" t="s">
        <v>123</v>
      </c>
      <c r="C30" s="101">
        <v>0.14000000000000001</v>
      </c>
      <c r="E30" s="170"/>
      <c r="F30" s="171"/>
      <c r="G30" s="172"/>
    </row>
    <row r="31" spans="2:7" ht="15" customHeight="1">
      <c r="B31" s="70" t="s">
        <v>89</v>
      </c>
      <c r="C31" s="80">
        <f>C29*G8</f>
        <v>232.07935135135133</v>
      </c>
      <c r="E31" s="170"/>
      <c r="F31" s="171"/>
      <c r="G31" s="172"/>
    </row>
    <row r="32" spans="2:7" ht="15" customHeight="1">
      <c r="B32" s="67" t="s">
        <v>124</v>
      </c>
      <c r="C32" s="79">
        <f>C30*G9</f>
        <v>19.000648648648649</v>
      </c>
      <c r="E32" s="170"/>
      <c r="F32" s="171"/>
      <c r="G32" s="172"/>
    </row>
    <row r="33" spans="2:7" ht="15" customHeight="1">
      <c r="D33" s="81"/>
      <c r="E33" s="170"/>
      <c r="F33" s="171"/>
      <c r="G33" s="172"/>
    </row>
    <row r="34" spans="2:7" ht="15" customHeight="1">
      <c r="B34" s="161" t="s">
        <v>170</v>
      </c>
      <c r="C34" s="162"/>
      <c r="E34" s="170"/>
      <c r="F34" s="171"/>
      <c r="G34" s="172"/>
    </row>
    <row r="35" spans="2:7" ht="15" customHeight="1">
      <c r="B35" s="163"/>
      <c r="C35" s="164"/>
      <c r="E35" s="170"/>
      <c r="F35" s="171"/>
      <c r="G35" s="172"/>
    </row>
    <row r="36" spans="2:7" ht="15" customHeight="1">
      <c r="B36" s="163"/>
      <c r="C36" s="164"/>
      <c r="E36" s="170"/>
      <c r="F36" s="171"/>
      <c r="G36" s="172"/>
    </row>
    <row r="37" spans="2:7" ht="15" customHeight="1">
      <c r="B37" s="163"/>
      <c r="C37" s="164"/>
      <c r="E37" s="170"/>
      <c r="F37" s="171"/>
      <c r="G37" s="172"/>
    </row>
    <row r="38" spans="2:7" ht="15" customHeight="1">
      <c r="B38" s="163"/>
      <c r="C38" s="164"/>
      <c r="E38" s="170"/>
      <c r="F38" s="171"/>
      <c r="G38" s="172"/>
    </row>
    <row r="39" spans="2:7" ht="15" customHeight="1">
      <c r="B39" s="163"/>
      <c r="C39" s="164"/>
      <c r="E39" s="170"/>
      <c r="F39" s="171"/>
      <c r="G39" s="172"/>
    </row>
    <row r="40" spans="2:7" ht="15" customHeight="1">
      <c r="B40" s="163"/>
      <c r="C40" s="164"/>
      <c r="E40" s="170"/>
      <c r="F40" s="171"/>
      <c r="G40" s="172"/>
    </row>
    <row r="41" spans="2:7" ht="15" customHeight="1">
      <c r="B41" s="163"/>
      <c r="C41" s="164"/>
      <c r="E41" s="170"/>
      <c r="F41" s="171"/>
      <c r="G41" s="172"/>
    </row>
    <row r="42" spans="2:7" ht="15" customHeight="1">
      <c r="B42" s="163"/>
      <c r="C42" s="164"/>
      <c r="E42" s="170"/>
      <c r="F42" s="171"/>
      <c r="G42" s="172"/>
    </row>
    <row r="43" spans="2:7" ht="15" customHeight="1">
      <c r="B43" s="163"/>
      <c r="C43" s="164"/>
      <c r="E43" s="170"/>
      <c r="F43" s="171"/>
      <c r="G43" s="172"/>
    </row>
    <row r="44" spans="2:7" ht="15" customHeight="1">
      <c r="B44" s="163"/>
      <c r="C44" s="164"/>
      <c r="E44" s="170"/>
      <c r="F44" s="171"/>
      <c r="G44" s="172"/>
    </row>
    <row r="45" spans="2:7" ht="15" customHeight="1">
      <c r="B45" s="163"/>
      <c r="C45" s="164"/>
      <c r="E45" s="170"/>
      <c r="F45" s="171"/>
      <c r="G45" s="172"/>
    </row>
    <row r="46" spans="2:7" ht="15" customHeight="1">
      <c r="B46" s="163"/>
      <c r="C46" s="164"/>
      <c r="E46" s="170"/>
      <c r="F46" s="171"/>
      <c r="G46" s="172"/>
    </row>
    <row r="47" spans="2:7" ht="15" customHeight="1">
      <c r="B47" s="163"/>
      <c r="C47" s="164"/>
      <c r="E47" s="170"/>
      <c r="F47" s="171"/>
      <c r="G47" s="172"/>
    </row>
    <row r="48" spans="2:7" ht="15" customHeight="1">
      <c r="B48" s="163"/>
      <c r="C48" s="164"/>
      <c r="E48" s="170"/>
      <c r="F48" s="171"/>
      <c r="G48" s="172"/>
    </row>
    <row r="49" spans="2:7" ht="15" customHeight="1">
      <c r="B49" s="163"/>
      <c r="C49" s="164"/>
      <c r="E49" s="170"/>
      <c r="F49" s="171"/>
      <c r="G49" s="172"/>
    </row>
    <row r="50" spans="2:7" ht="15" customHeight="1">
      <c r="B50" s="163"/>
      <c r="C50" s="164"/>
      <c r="E50" s="170"/>
      <c r="F50" s="171"/>
      <c r="G50" s="172"/>
    </row>
    <row r="51" spans="2:7" ht="15" customHeight="1">
      <c r="B51" s="163"/>
      <c r="C51" s="164"/>
      <c r="E51" s="170"/>
      <c r="F51" s="171"/>
      <c r="G51" s="172"/>
    </row>
    <row r="52" spans="2:7" ht="15" customHeight="1">
      <c r="B52" s="163"/>
      <c r="C52" s="164"/>
      <c r="E52" s="170"/>
      <c r="F52" s="171"/>
      <c r="G52" s="172"/>
    </row>
    <row r="53" spans="2:7" ht="15" customHeight="1">
      <c r="B53" s="163"/>
      <c r="C53" s="164"/>
      <c r="E53" s="170"/>
      <c r="F53" s="171"/>
      <c r="G53" s="172"/>
    </row>
    <row r="54" spans="2:7" ht="15" customHeight="1">
      <c r="B54" s="163"/>
      <c r="C54" s="164"/>
      <c r="E54" s="170"/>
      <c r="F54" s="171"/>
      <c r="G54" s="172"/>
    </row>
    <row r="55" spans="2:7" ht="15" customHeight="1">
      <c r="B55" s="163"/>
      <c r="C55" s="164"/>
      <c r="E55" s="170"/>
      <c r="F55" s="171"/>
      <c r="G55" s="172"/>
    </row>
    <row r="56" spans="2:7" ht="15" customHeight="1">
      <c r="B56" s="165"/>
      <c r="C56" s="166"/>
      <c r="E56" s="173"/>
      <c r="F56" s="174"/>
      <c r="G56" s="175"/>
    </row>
    <row r="58" spans="2:7" ht="15" customHeight="1">
      <c r="B58" s="129" t="s">
        <v>173</v>
      </c>
      <c r="C58" s="129"/>
      <c r="D58" s="129"/>
      <c r="E58" s="129"/>
      <c r="F58" s="129"/>
      <c r="G58" s="129"/>
    </row>
  </sheetData>
  <mergeCells count="10">
    <mergeCell ref="B34:C56"/>
    <mergeCell ref="E24:G56"/>
    <mergeCell ref="B58:G58"/>
    <mergeCell ref="E21:F22"/>
    <mergeCell ref="G21:G22"/>
    <mergeCell ref="B1:B4"/>
    <mergeCell ref="C1:G4"/>
    <mergeCell ref="E6:F6"/>
    <mergeCell ref="E14:F14"/>
    <mergeCell ref="E16:F16"/>
  </mergeCells>
  <printOptions horizontalCentered="1"/>
  <pageMargins left="0" right="0" top="0" bottom="0" header="0" footer="0"/>
  <pageSetup scale="88"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FE8DB-4B08-462A-A7BF-47EB3354B98F}">
  <sheetPr>
    <pageSetUpPr fitToPage="1"/>
  </sheetPr>
  <dimension ref="B1:H58"/>
  <sheetViews>
    <sheetView zoomScaleNormal="100" workbookViewId="0"/>
  </sheetViews>
  <sheetFormatPr defaultColWidth="15.77734375" defaultRowHeight="15" customHeight="1"/>
  <cols>
    <col min="1" max="1" width="2" style="1" customWidth="1"/>
    <col min="2" max="2" width="25.77734375" style="1" customWidth="1"/>
    <col min="3" max="16384" width="15.77734375" style="1"/>
  </cols>
  <sheetData>
    <row r="1" spans="2:8" ht="15.6">
      <c r="B1" s="127" t="s">
        <v>30</v>
      </c>
      <c r="C1" s="128" t="s">
        <v>132</v>
      </c>
      <c r="D1" s="128"/>
      <c r="E1" s="128"/>
      <c r="F1" s="128"/>
      <c r="G1" s="128"/>
    </row>
    <row r="2" spans="2:8" ht="15.6">
      <c r="B2" s="127"/>
      <c r="C2" s="128"/>
      <c r="D2" s="128"/>
      <c r="E2" s="128"/>
      <c r="F2" s="128"/>
      <c r="G2" s="128"/>
    </row>
    <row r="3" spans="2:8" ht="15.6">
      <c r="B3" s="127"/>
      <c r="C3" s="128"/>
      <c r="D3" s="128"/>
      <c r="E3" s="128"/>
      <c r="F3" s="128"/>
      <c r="G3" s="128"/>
    </row>
    <row r="4" spans="2:8" ht="15.6">
      <c r="B4" s="127"/>
      <c r="C4" s="128"/>
      <c r="D4" s="128"/>
      <c r="E4" s="128"/>
      <c r="F4" s="128"/>
      <c r="G4" s="128"/>
    </row>
    <row r="6" spans="2:8" ht="15" customHeight="1">
      <c r="B6" s="178" t="s">
        <v>90</v>
      </c>
      <c r="C6" s="178"/>
      <c r="D6" s="178"/>
      <c r="E6" s="178"/>
      <c r="F6" s="178"/>
      <c r="G6" s="178"/>
    </row>
    <row r="7" spans="2:8" ht="15" customHeight="1">
      <c r="B7" s="178"/>
      <c r="C7" s="178"/>
      <c r="D7" s="178"/>
      <c r="E7" s="178"/>
      <c r="F7" s="178"/>
      <c r="G7" s="178"/>
    </row>
    <row r="9" spans="2:8" ht="15" customHeight="1">
      <c r="B9" s="6" t="s">
        <v>0</v>
      </c>
      <c r="C9" s="5">
        <v>2026</v>
      </c>
      <c r="D9" s="5">
        <f>C9+1</f>
        <v>2027</v>
      </c>
      <c r="E9" s="5">
        <f t="shared" ref="E9:G9" si="0">D9+1</f>
        <v>2028</v>
      </c>
      <c r="F9" s="5">
        <f t="shared" si="0"/>
        <v>2029</v>
      </c>
      <c r="G9" s="5">
        <f t="shared" si="0"/>
        <v>2030</v>
      </c>
    </row>
    <row r="11" spans="2:8" ht="15" customHeight="1">
      <c r="B11" s="7" t="s">
        <v>91</v>
      </c>
      <c r="C11" s="2">
        <f>'PURCHASE PRICE &amp; SOURCES, USES'!G8+'PURCHASE PRICE &amp; SOURCES, USES'!G9</f>
        <v>2714.3783783783783</v>
      </c>
      <c r="D11" s="2">
        <f>C$17</f>
        <v>2590.2664584561421</v>
      </c>
      <c r="E11" s="2">
        <f t="shared" ref="E11:G11" si="1">D$17</f>
        <v>2274.2391451751573</v>
      </c>
      <c r="F11" s="2">
        <f t="shared" si="1"/>
        <v>1869.286923485012</v>
      </c>
      <c r="G11" s="2">
        <f t="shared" si="1"/>
        <v>1380.1844257395824</v>
      </c>
    </row>
    <row r="12" spans="2:8" ht="15" customHeight="1">
      <c r="B12" s="8" t="s">
        <v>92</v>
      </c>
      <c r="C12" s="3">
        <f>C49</f>
        <v>146.84787027027025</v>
      </c>
      <c r="D12" s="3">
        <f t="shared" ref="D12:G12" si="2">D49</f>
        <v>60.2592</v>
      </c>
      <c r="E12" s="3">
        <f t="shared" si="2"/>
        <v>25.015711135135135</v>
      </c>
      <c r="F12" s="3">
        <f t="shared" si="2"/>
        <v>10.553503135135138</v>
      </c>
      <c r="G12" s="3">
        <f t="shared" si="2"/>
        <v>8.4037154594594625</v>
      </c>
    </row>
    <row r="13" spans="2:8" ht="15" customHeight="1">
      <c r="B13" s="8" t="s">
        <v>93</v>
      </c>
      <c r="C13" s="21">
        <f>C50</f>
        <v>5.4099999999999995E-2</v>
      </c>
      <c r="D13" s="21">
        <f t="shared" ref="D13:G13" si="3">D50</f>
        <v>2.3263707022603327E-2</v>
      </c>
      <c r="E13" s="21">
        <f t="shared" si="3"/>
        <v>1.0999595705757882E-2</v>
      </c>
      <c r="F13" s="21">
        <f t="shared" si="3"/>
        <v>5.6457374213369424E-3</v>
      </c>
      <c r="G13" s="21">
        <f t="shared" si="3"/>
        <v>6.0888351605302799E-3</v>
      </c>
      <c r="H13" s="42"/>
    </row>
    <row r="14" spans="2:8" ht="15" customHeight="1">
      <c r="B14" s="8" t="s">
        <v>94</v>
      </c>
      <c r="C14" s="3">
        <f>C30</f>
        <v>124.11191992223624</v>
      </c>
      <c r="D14" s="3">
        <f t="shared" ref="D14:G14" si="4">D30</f>
        <v>316.02731328098491</v>
      </c>
      <c r="E14" s="3">
        <f t="shared" si="4"/>
        <v>404.95222169014534</v>
      </c>
      <c r="F14" s="3">
        <f t="shared" si="4"/>
        <v>489.10249774542973</v>
      </c>
      <c r="G14" s="3">
        <f t="shared" si="4"/>
        <v>576.70017464255341</v>
      </c>
    </row>
    <row r="15" spans="2:8" ht="15" customHeight="1">
      <c r="B15" s="9" t="s">
        <v>95</v>
      </c>
      <c r="C15" s="4">
        <f>C14*C32</f>
        <v>124.11191992223624</v>
      </c>
      <c r="D15" s="4">
        <f t="shared" ref="D15:G15" si="5">D14*D32</f>
        <v>316.02731328098491</v>
      </c>
      <c r="E15" s="4">
        <f t="shared" si="5"/>
        <v>404.95222169014534</v>
      </c>
      <c r="F15" s="4">
        <f t="shared" si="5"/>
        <v>489.10249774542973</v>
      </c>
      <c r="G15" s="4">
        <f t="shared" si="5"/>
        <v>576.70017464255341</v>
      </c>
    </row>
    <row r="17" spans="2:7" ht="15" customHeight="1">
      <c r="B17" s="14" t="s">
        <v>96</v>
      </c>
      <c r="C17" s="6">
        <f>C11-C15</f>
        <v>2590.2664584561421</v>
      </c>
      <c r="D17" s="6">
        <f>D11-D15</f>
        <v>2274.2391451751573</v>
      </c>
      <c r="E17" s="6">
        <f t="shared" ref="E17:G17" si="6">E11-E15</f>
        <v>1869.286923485012</v>
      </c>
      <c r="F17" s="6">
        <f t="shared" si="6"/>
        <v>1380.1844257395824</v>
      </c>
      <c r="G17" s="6">
        <f t="shared" si="6"/>
        <v>803.48425109702896</v>
      </c>
    </row>
    <row r="19" spans="2:7" ht="15" customHeight="1">
      <c r="B19" s="178" t="s">
        <v>133</v>
      </c>
      <c r="C19" s="178"/>
      <c r="D19" s="178"/>
      <c r="E19" s="178"/>
      <c r="F19" s="178"/>
      <c r="G19" s="178"/>
    </row>
    <row r="20" spans="2:7" ht="15" customHeight="1">
      <c r="B20" s="178"/>
      <c r="C20" s="178"/>
      <c r="D20" s="178"/>
      <c r="E20" s="178"/>
      <c r="F20" s="178"/>
      <c r="G20" s="178"/>
    </row>
    <row r="22" spans="2:7" ht="15" customHeight="1">
      <c r="B22" s="6" t="s">
        <v>0</v>
      </c>
      <c r="C22" s="5">
        <v>2026</v>
      </c>
      <c r="D22" s="5">
        <f>C22+1</f>
        <v>2027</v>
      </c>
      <c r="E22" s="5">
        <f t="shared" ref="E22" si="7">D22+1</f>
        <v>2028</v>
      </c>
      <c r="F22" s="5">
        <f t="shared" ref="F22" si="8">E22+1</f>
        <v>2029</v>
      </c>
      <c r="G22" s="5">
        <f t="shared" ref="G22" si="9">F22+1</f>
        <v>2030</v>
      </c>
    </row>
    <row r="24" spans="2:7" ht="15" customHeight="1">
      <c r="B24" s="7" t="s">
        <v>3</v>
      </c>
      <c r="C24" s="2">
        <f>'OPERATING FORECAST'!C10</f>
        <v>575.96438878157414</v>
      </c>
      <c r="D24" s="2">
        <f>'OPERATING FORECAST'!D10</f>
        <v>675.60771946752516</v>
      </c>
      <c r="E24" s="2">
        <f>'OPERATING FORECAST'!E10</f>
        <v>792.48960438283359</v>
      </c>
      <c r="F24" s="2">
        <f>'OPERATING FORECAST'!F10</f>
        <v>929.59235804742514</v>
      </c>
      <c r="G24" s="2">
        <f>'OPERATING FORECAST'!G10</f>
        <v>1090.4142431157054</v>
      </c>
    </row>
    <row r="25" spans="2:7" ht="15" customHeight="1">
      <c r="B25" s="8" t="s">
        <v>125</v>
      </c>
      <c r="C25" s="3">
        <f>'OPERATING FORECAST'!C20</f>
        <v>88.986139582935863</v>
      </c>
      <c r="D25" s="3">
        <f>'OPERATING FORECAST'!D20</f>
        <v>132.37940517557706</v>
      </c>
      <c r="E25" s="3">
        <f>'OPERATING FORECAST'!E20</f>
        <v>166.69850668547778</v>
      </c>
      <c r="F25" s="3">
        <f>'OPERATING FORECAST'!F20</f>
        <v>200.23527769906593</v>
      </c>
      <c r="G25" s="3">
        <f>'OPERATING FORECAST'!G20</f>
        <v>235.87039200020362</v>
      </c>
    </row>
    <row r="26" spans="2:7" ht="15" customHeight="1">
      <c r="B26" s="8" t="s">
        <v>126</v>
      </c>
      <c r="C26" s="3">
        <f>'OPERATING FORECAST'!C40</f>
        <v>110.06746632762979</v>
      </c>
      <c r="D26" s="3">
        <f>'OPERATING FORECAST'!D40</f>
        <v>129.10942301569867</v>
      </c>
      <c r="E26" s="3">
        <f>'OPERATING FORECAST'!E40</f>
        <v>151.44568751885777</v>
      </c>
      <c r="F26" s="3">
        <f>'OPERATING FORECAST'!F40</f>
        <v>177.64618361953879</v>
      </c>
      <c r="G26" s="3">
        <f>'OPERATING FORECAST'!G40</f>
        <v>208.37943339031901</v>
      </c>
    </row>
    <row r="27" spans="2:7" ht="15" customHeight="1">
      <c r="B27" s="8" t="s">
        <v>127</v>
      </c>
      <c r="C27" s="3">
        <f>'OPERATING FORECAST'!C36-'HISTORICAL DATA'!G36</f>
        <v>105.95099267850205</v>
      </c>
      <c r="D27" s="3">
        <f>'OPERATING FORECAST'!D36-'OPERATING FORECAST'!C36</f>
        <v>37.832377995264494</v>
      </c>
      <c r="E27" s="3">
        <f>'OPERATING FORECAST'!E36-'OPERATING FORECAST'!D36</f>
        <v>44.377477353217557</v>
      </c>
      <c r="F27" s="3">
        <f>'OPERATING FORECAST'!F36-'OPERATING FORECAST'!E36</f>
        <v>52.054895848255569</v>
      </c>
      <c r="G27" s="3">
        <f>'OPERATING FORECAST'!G36-'OPERATING FORECAST'!F36</f>
        <v>61.060527623169889</v>
      </c>
    </row>
    <row r="28" spans="2:7" ht="15" customHeight="1">
      <c r="B28" s="9" t="s">
        <v>128</v>
      </c>
      <c r="C28" s="4">
        <f>'OPERATING FORECAST'!C16</f>
        <v>146.84787027027025</v>
      </c>
      <c r="D28" s="4">
        <f>'OPERATING FORECAST'!D16</f>
        <v>60.2592</v>
      </c>
      <c r="E28" s="4">
        <f>'OPERATING FORECAST'!E16</f>
        <v>25.015711135135135</v>
      </c>
      <c r="F28" s="4">
        <f>'OPERATING FORECAST'!F16</f>
        <v>10.553503135135138</v>
      </c>
      <c r="G28" s="4">
        <f>'OPERATING FORECAST'!G16</f>
        <v>8.4037154594594625</v>
      </c>
    </row>
    <row r="30" spans="2:7" ht="15" customHeight="1">
      <c r="B30" s="14" t="s">
        <v>94</v>
      </c>
      <c r="C30" s="6">
        <f>C24-C25-C26-C27-C28</f>
        <v>124.11191992223624</v>
      </c>
      <c r="D30" s="6">
        <f t="shared" ref="D30:G30" si="10">D24-D25-D26-D27-D28</f>
        <v>316.02731328098491</v>
      </c>
      <c r="E30" s="6">
        <f t="shared" si="10"/>
        <v>404.95222169014534</v>
      </c>
      <c r="F30" s="6">
        <f t="shared" si="10"/>
        <v>489.10249774542973</v>
      </c>
      <c r="G30" s="6">
        <f t="shared" si="10"/>
        <v>576.70017464255341</v>
      </c>
    </row>
    <row r="32" spans="2:7" ht="15" customHeight="1">
      <c r="B32" s="14" t="s">
        <v>55</v>
      </c>
      <c r="C32" s="39">
        <v>1</v>
      </c>
      <c r="D32" s="39">
        <v>1</v>
      </c>
      <c r="E32" s="39">
        <v>1</v>
      </c>
      <c r="F32" s="39">
        <v>1</v>
      </c>
      <c r="G32" s="39">
        <v>1</v>
      </c>
    </row>
    <row r="34" spans="2:7" ht="15" customHeight="1">
      <c r="B34" s="2" t="s">
        <v>129</v>
      </c>
      <c r="C34" s="2">
        <f>C15</f>
        <v>124.11191992223624</v>
      </c>
      <c r="D34" s="2">
        <f t="shared" ref="D34:G34" si="11">D15</f>
        <v>316.02731328098491</v>
      </c>
      <c r="E34" s="2">
        <f t="shared" si="11"/>
        <v>404.95222169014534</v>
      </c>
      <c r="F34" s="2">
        <f t="shared" si="11"/>
        <v>489.10249774542973</v>
      </c>
      <c r="G34" s="2">
        <f t="shared" si="11"/>
        <v>576.70017464255341</v>
      </c>
    </row>
    <row r="35" spans="2:7" ht="15" customHeight="1">
      <c r="B35" s="4" t="s">
        <v>130</v>
      </c>
      <c r="C35" s="4">
        <f>C30-C34</f>
        <v>0</v>
      </c>
      <c r="D35" s="4">
        <f t="shared" ref="D35:G35" si="12">D30-D34</f>
        <v>0</v>
      </c>
      <c r="E35" s="4">
        <f t="shared" si="12"/>
        <v>0</v>
      </c>
      <c r="F35" s="4">
        <f t="shared" si="12"/>
        <v>0</v>
      </c>
      <c r="G35" s="4">
        <f t="shared" si="12"/>
        <v>0</v>
      </c>
    </row>
    <row r="37" spans="2:7" ht="15" customHeight="1">
      <c r="B37" s="179" t="s">
        <v>131</v>
      </c>
      <c r="C37" s="180">
        <f>C35+D35+E35+F35+G35+'HISTORICAL DATA'!G24</f>
        <v>22.78</v>
      </c>
    </row>
    <row r="38" spans="2:7" ht="15" customHeight="1">
      <c r="B38" s="179"/>
      <c r="C38" s="180"/>
    </row>
    <row r="40" spans="2:7" ht="15" customHeight="1">
      <c r="B40" s="178" t="s">
        <v>138</v>
      </c>
      <c r="C40" s="178"/>
      <c r="D40" s="178"/>
      <c r="E40" s="178"/>
      <c r="F40" s="178"/>
      <c r="G40" s="178"/>
    </row>
    <row r="41" spans="2:7" ht="15" customHeight="1">
      <c r="B41" s="178"/>
      <c r="C41" s="178"/>
      <c r="D41" s="178"/>
      <c r="E41" s="178"/>
      <c r="F41" s="178"/>
      <c r="G41" s="178"/>
    </row>
    <row r="43" spans="2:7" ht="15" customHeight="1">
      <c r="B43" s="179" t="s">
        <v>139</v>
      </c>
      <c r="C43" s="180">
        <f>'PURCHASE PRICE &amp; SOURCES, USES'!C31+'PURCHASE PRICE &amp; SOURCES, USES'!C32</f>
        <v>251.07999999999998</v>
      </c>
    </row>
    <row r="44" spans="2:7" ht="15" customHeight="1">
      <c r="B44" s="179"/>
      <c r="C44" s="180"/>
    </row>
    <row r="46" spans="2:7" ht="15" customHeight="1">
      <c r="B46" s="6" t="s">
        <v>0</v>
      </c>
      <c r="C46" s="5">
        <v>2026</v>
      </c>
      <c r="D46" s="5">
        <f>C46+1</f>
        <v>2027</v>
      </c>
      <c r="E46" s="5">
        <f t="shared" ref="E46" si="13">D46+1</f>
        <v>2028</v>
      </c>
      <c r="F46" s="5">
        <f t="shared" ref="F46" si="14">E46+1</f>
        <v>2029</v>
      </c>
      <c r="G46" s="5">
        <f t="shared" ref="G46" si="15">F46+1</f>
        <v>2030</v>
      </c>
    </row>
    <row r="48" spans="2:7" ht="15" customHeight="1">
      <c r="B48" s="7" t="s">
        <v>141</v>
      </c>
      <c r="C48" s="2">
        <f>C43-C49</f>
        <v>104.23212972972973</v>
      </c>
      <c r="D48" s="2">
        <f>C48-D49</f>
        <v>43.972929729729735</v>
      </c>
      <c r="E48" s="2">
        <f t="shared" ref="E48:F48" si="16">D48-E49</f>
        <v>18.9572185945946</v>
      </c>
      <c r="F48" s="2">
        <f t="shared" si="16"/>
        <v>8.4037154594594625</v>
      </c>
      <c r="G48" s="2">
        <f t="shared" ref="G48" si="17">F48-G49</f>
        <v>0</v>
      </c>
    </row>
    <row r="49" spans="2:7" ht="15" customHeight="1">
      <c r="B49" s="8" t="s">
        <v>140</v>
      </c>
      <c r="C49" s="3">
        <f>C43-(C52+C55)</f>
        <v>146.84787027027025</v>
      </c>
      <c r="D49" s="3">
        <f>C48-(D52+D55)</f>
        <v>60.2592</v>
      </c>
      <c r="E49" s="3">
        <f t="shared" ref="E49:F49" si="18">D48-(E52+E55)</f>
        <v>25.015711135135135</v>
      </c>
      <c r="F49" s="3">
        <f t="shared" si="18"/>
        <v>10.553503135135138</v>
      </c>
      <c r="G49" s="3">
        <f t="shared" ref="G49" si="19">F48-(G52+G55)</f>
        <v>8.4037154594594625</v>
      </c>
    </row>
    <row r="50" spans="2:7" ht="15" customHeight="1">
      <c r="B50" s="8" t="s">
        <v>146</v>
      </c>
      <c r="C50" s="21">
        <f>C49/C11</f>
        <v>5.4099999999999995E-2</v>
      </c>
      <c r="D50" s="21">
        <f t="shared" ref="D50:G50" si="20">D49/D11</f>
        <v>2.3263707022603327E-2</v>
      </c>
      <c r="E50" s="21">
        <f t="shared" si="20"/>
        <v>1.0999595705757882E-2</v>
      </c>
      <c r="F50" s="21">
        <f t="shared" si="20"/>
        <v>5.6457374213369424E-3</v>
      </c>
      <c r="G50" s="21">
        <f t="shared" si="20"/>
        <v>6.0888351605302799E-3</v>
      </c>
    </row>
    <row r="51" spans="2:7" ht="15" customHeight="1">
      <c r="B51" s="8"/>
      <c r="C51" s="21"/>
      <c r="D51" s="21"/>
      <c r="E51" s="21"/>
      <c r="F51" s="21"/>
      <c r="G51" s="21"/>
    </row>
    <row r="52" spans="2:7" ht="15" customHeight="1">
      <c r="B52" s="8" t="s">
        <v>144</v>
      </c>
      <c r="C52" s="3">
        <f>'PURCHASE PRICE &amp; SOURCES, USES'!$C$31-('DEBT SCHEDULE'!C53*'PURCHASE PRICE &amp; SOURCES, USES'!$C$31)</f>
        <v>92.831740540540551</v>
      </c>
      <c r="D52" s="3">
        <f>C52-(C52*D53)</f>
        <v>37.132696216216225</v>
      </c>
      <c r="E52" s="3">
        <f>D52-(D52*E53)</f>
        <v>14.853078486486492</v>
      </c>
      <c r="F52" s="3">
        <f>E52-(E52*F53)</f>
        <v>5.9412313945945971</v>
      </c>
      <c r="G52" s="3">
        <f>F52-(F52*G53)</f>
        <v>0</v>
      </c>
    </row>
    <row r="53" spans="2:7" ht="15" customHeight="1">
      <c r="B53" s="8" t="s">
        <v>142</v>
      </c>
      <c r="C53" s="102">
        <v>0.6</v>
      </c>
      <c r="D53" s="102">
        <v>0.6</v>
      </c>
      <c r="E53" s="102">
        <v>0.6</v>
      </c>
      <c r="F53" s="102">
        <v>0.6</v>
      </c>
      <c r="G53" s="102">
        <v>1</v>
      </c>
    </row>
    <row r="54" spans="2:7" ht="15" customHeight="1">
      <c r="B54" s="8"/>
      <c r="C54" s="3"/>
      <c r="D54" s="3"/>
      <c r="E54" s="3"/>
      <c r="F54" s="3"/>
      <c r="G54" s="3"/>
    </row>
    <row r="55" spans="2:7" ht="15" customHeight="1">
      <c r="B55" s="8" t="s">
        <v>145</v>
      </c>
      <c r="C55" s="3">
        <f>'PURCHASE PRICE &amp; SOURCES, USES'!C32-('PURCHASE PRICE &amp; SOURCES, USES'!C32*'DEBT SCHEDULE'!C56)</f>
        <v>11.400389189189189</v>
      </c>
      <c r="D55" s="3">
        <f>C55-(C55*D56)</f>
        <v>6.8402335135135131</v>
      </c>
      <c r="E55" s="3">
        <f t="shared" ref="E55:G55" si="21">D55-(D55*E56)</f>
        <v>4.1041401081081075</v>
      </c>
      <c r="F55" s="3">
        <f t="shared" si="21"/>
        <v>2.4624840648648645</v>
      </c>
      <c r="G55" s="3">
        <f t="shared" si="21"/>
        <v>0</v>
      </c>
    </row>
    <row r="56" spans="2:7" ht="15" customHeight="1">
      <c r="B56" s="9" t="s">
        <v>143</v>
      </c>
      <c r="C56" s="103">
        <v>0.4</v>
      </c>
      <c r="D56" s="103">
        <v>0.4</v>
      </c>
      <c r="E56" s="103">
        <v>0.4</v>
      </c>
      <c r="F56" s="103">
        <v>0.4</v>
      </c>
      <c r="G56" s="103">
        <v>1</v>
      </c>
    </row>
    <row r="58" spans="2:7" ht="15" customHeight="1">
      <c r="B58" s="129" t="s">
        <v>173</v>
      </c>
      <c r="C58" s="129"/>
      <c r="D58" s="129"/>
      <c r="E58" s="129"/>
      <c r="F58" s="129"/>
      <c r="G58" s="129"/>
    </row>
  </sheetData>
  <mergeCells count="10">
    <mergeCell ref="B58:G58"/>
    <mergeCell ref="B40:G41"/>
    <mergeCell ref="B43:B44"/>
    <mergeCell ref="C43:C44"/>
    <mergeCell ref="B1:B4"/>
    <mergeCell ref="C1:G4"/>
    <mergeCell ref="C37:C38"/>
    <mergeCell ref="B37:B38"/>
    <mergeCell ref="B6:G7"/>
    <mergeCell ref="B19:G20"/>
  </mergeCells>
  <printOptions horizontalCentered="1"/>
  <pageMargins left="0" right="0" top="0" bottom="0" header="0" footer="0"/>
  <pageSetup scale="88"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199A5-A1BE-42B3-A8B4-A1CDA2C22F1B}">
  <sheetPr>
    <pageSetUpPr fitToPage="1"/>
  </sheetPr>
  <dimension ref="B1:G58"/>
  <sheetViews>
    <sheetView zoomScaleNormal="100" workbookViewId="0"/>
  </sheetViews>
  <sheetFormatPr defaultColWidth="15.77734375" defaultRowHeight="15" customHeight="1"/>
  <cols>
    <col min="1" max="1" width="2" style="1" customWidth="1"/>
    <col min="2" max="2" width="25.77734375" style="1" customWidth="1"/>
    <col min="3" max="16384" width="15.77734375" style="1"/>
  </cols>
  <sheetData>
    <row r="1" spans="2:7" ht="15.6">
      <c r="B1" s="127" t="s">
        <v>30</v>
      </c>
      <c r="C1" s="181" t="s">
        <v>161</v>
      </c>
      <c r="D1" s="181"/>
      <c r="E1" s="181"/>
      <c r="F1" s="181"/>
      <c r="G1" s="181"/>
    </row>
    <row r="2" spans="2:7" ht="15.6">
      <c r="B2" s="127"/>
      <c r="C2" s="181"/>
      <c r="D2" s="181"/>
      <c r="E2" s="181"/>
      <c r="F2" s="181"/>
      <c r="G2" s="181"/>
    </row>
    <row r="3" spans="2:7" ht="15.6">
      <c r="B3" s="127"/>
      <c r="C3" s="181"/>
      <c r="D3" s="181"/>
      <c r="E3" s="181"/>
      <c r="F3" s="181"/>
      <c r="G3" s="181"/>
    </row>
    <row r="4" spans="2:7" ht="15.6">
      <c r="B4" s="127"/>
      <c r="C4" s="181"/>
      <c r="D4" s="181"/>
      <c r="E4" s="181"/>
      <c r="F4" s="181"/>
      <c r="G4" s="181"/>
    </row>
    <row r="6" spans="2:7" ht="15" customHeight="1">
      <c r="B6" s="178" t="s">
        <v>148</v>
      </c>
      <c r="C6" s="178"/>
      <c r="E6" s="178" t="s">
        <v>162</v>
      </c>
      <c r="F6" s="178"/>
      <c r="G6" s="178"/>
    </row>
    <row r="7" spans="2:7" ht="15" customHeight="1">
      <c r="B7" s="178"/>
      <c r="C7" s="178"/>
      <c r="E7" s="178"/>
      <c r="F7" s="178"/>
      <c r="G7" s="178"/>
    </row>
    <row r="9" spans="2:7" ht="15" customHeight="1">
      <c r="B9" s="6" t="s">
        <v>147</v>
      </c>
      <c r="C9" s="83" t="s">
        <v>41</v>
      </c>
      <c r="E9" s="138" t="s">
        <v>147</v>
      </c>
      <c r="F9" s="139"/>
      <c r="G9" s="6" t="s">
        <v>41</v>
      </c>
    </row>
    <row r="10" spans="2:7" ht="15" customHeight="1">
      <c r="B10" s="10" t="s">
        <v>148</v>
      </c>
    </row>
    <row r="11" spans="2:7" ht="15" customHeight="1">
      <c r="B11" s="2" t="s">
        <v>149</v>
      </c>
      <c r="C11" s="2">
        <f>CHOOSE($C$26,'OPERATING FORECAST'!$C$10,'OPERATING FORECAST'!$D$10,'OPERATING FORECAST'!$E$10,'OPERATING FORECAST'!$F$10,'OPERATING FORECAST'!$G$10)</f>
        <v>1090.4142431157054</v>
      </c>
      <c r="E11" s="140" t="s">
        <v>154</v>
      </c>
      <c r="F11" s="141"/>
      <c r="G11" s="54">
        <f>'PURCHASE PRICE &amp; SOURCES, USES'!$G$10</f>
        <v>12184.777941621622</v>
      </c>
    </row>
    <row r="12" spans="2:7" ht="15" customHeight="1">
      <c r="B12" s="3" t="s">
        <v>36</v>
      </c>
      <c r="C12" s="51">
        <f>ASSUMPTIONS!$C$24</f>
        <v>29.133734267962403</v>
      </c>
      <c r="E12" s="142" t="s">
        <v>155</v>
      </c>
      <c r="F12" s="143"/>
      <c r="G12" s="55">
        <f>$C$18</f>
        <v>30987.134549837287</v>
      </c>
    </row>
    <row r="13" spans="2:7" ht="15" customHeight="1">
      <c r="B13" s="3" t="s">
        <v>104</v>
      </c>
      <c r="C13" s="37">
        <f>C11*C12</f>
        <v>31767.838800934314</v>
      </c>
      <c r="E13" s="142" t="s">
        <v>156</v>
      </c>
      <c r="F13" s="143"/>
      <c r="G13" s="55">
        <f>G11</f>
        <v>12184.777941621622</v>
      </c>
    </row>
    <row r="14" spans="2:7" ht="15" customHeight="1">
      <c r="B14" s="3" t="s">
        <v>150</v>
      </c>
      <c r="C14" s="3">
        <f>CHOOSE($C$26,'OPERATING FORECAST'!$C$26,'OPERATING FORECAST'!$D$26,'OPERATING FORECAST'!$E$26,'OPERATING FORECAST'!$F$26,'OPERATING FORECAST'!$G$26)</f>
        <v>803.48425109702896</v>
      </c>
      <c r="E14" s="142" t="s">
        <v>157</v>
      </c>
      <c r="F14" s="143"/>
      <c r="G14" s="55">
        <f>G12</f>
        <v>30987.134549837287</v>
      </c>
    </row>
    <row r="15" spans="2:7" ht="15" customHeight="1">
      <c r="B15" s="3" t="s">
        <v>151</v>
      </c>
      <c r="C15" s="3">
        <f>CHOOSE($C$26,'OPERATING FORECAST'!$C$24,'OPERATING FORECAST'!$D$24,'OPERATING FORECAST'!$E$24,'OPERATING FORECAST'!$F$24,'OPERATING FORECAST'!$G$24)</f>
        <v>22.779999999999859</v>
      </c>
      <c r="E15" s="144" t="s">
        <v>158</v>
      </c>
      <c r="F15" s="145"/>
      <c r="G15" s="13">
        <f>G12-G11</f>
        <v>18802.356608215665</v>
      </c>
    </row>
    <row r="16" spans="2:7" ht="15" customHeight="1">
      <c r="B16" s="4" t="s">
        <v>14</v>
      </c>
      <c r="C16" s="4">
        <f>C14-C15</f>
        <v>780.7042510970291</v>
      </c>
    </row>
    <row r="17" spans="2:7" ht="15" customHeight="1">
      <c r="E17" s="182" t="s">
        <v>159</v>
      </c>
      <c r="F17" s="182"/>
      <c r="G17" s="183">
        <f>(C21/G11)^(1/C26)-1</f>
        <v>0.20523784374232279</v>
      </c>
    </row>
    <row r="18" spans="2:7" ht="15" customHeight="1">
      <c r="B18" s="6" t="s">
        <v>110</v>
      </c>
      <c r="C18" s="75">
        <f>C13-C16</f>
        <v>30987.134549837287</v>
      </c>
      <c r="E18" s="182"/>
      <c r="F18" s="182"/>
      <c r="G18" s="183"/>
    </row>
    <row r="20" spans="2:7" ht="15" customHeight="1">
      <c r="B20" s="2" t="s">
        <v>152</v>
      </c>
      <c r="C20" s="100">
        <v>1</v>
      </c>
      <c r="E20" s="184" t="s">
        <v>160</v>
      </c>
      <c r="F20" s="184"/>
      <c r="G20" s="185">
        <f>C21/G11</f>
        <v>2.543102114646608</v>
      </c>
    </row>
    <row r="21" spans="2:7" ht="15" customHeight="1">
      <c r="B21" s="4" t="s">
        <v>153</v>
      </c>
      <c r="C21" s="13">
        <f>C18*C20</f>
        <v>30987.134549837287</v>
      </c>
      <c r="E21" s="184"/>
      <c r="F21" s="184"/>
      <c r="G21" s="185"/>
    </row>
    <row r="23" spans="2:7" ht="15" customHeight="1">
      <c r="B23" s="178" t="s">
        <v>163</v>
      </c>
      <c r="C23" s="178"/>
      <c r="D23" s="178"/>
      <c r="E23" s="178"/>
      <c r="F23" s="178"/>
      <c r="G23" s="178"/>
    </row>
    <row r="24" spans="2:7" ht="15" customHeight="1">
      <c r="B24" s="178"/>
      <c r="C24" s="178"/>
      <c r="D24" s="178"/>
      <c r="E24" s="178"/>
      <c r="F24" s="178"/>
      <c r="G24" s="178"/>
    </row>
    <row r="26" spans="2:7" ht="15" customHeight="1">
      <c r="B26" s="182" t="s">
        <v>164</v>
      </c>
      <c r="C26" s="186">
        <v>5</v>
      </c>
    </row>
    <row r="27" spans="2:7" ht="15" customHeight="1">
      <c r="B27" s="182"/>
      <c r="C27" s="186"/>
    </row>
    <row r="29" spans="2:7" ht="15" customHeight="1">
      <c r="B29" s="94" t="s">
        <v>166</v>
      </c>
    </row>
    <row r="30" spans="2:7" ht="15" customHeight="1">
      <c r="C30" s="187" t="s">
        <v>165</v>
      </c>
      <c r="D30" s="187"/>
      <c r="E30" s="187"/>
      <c r="F30" s="187"/>
      <c r="G30" s="187"/>
    </row>
    <row r="31" spans="2:7" ht="15" customHeight="1">
      <c r="B31" s="87">
        <f>$G$17</f>
        <v>0.20523784374232279</v>
      </c>
      <c r="C31" s="2">
        <v>1</v>
      </c>
      <c r="D31" s="2">
        <v>2</v>
      </c>
      <c r="E31" s="2">
        <v>3</v>
      </c>
      <c r="F31" s="2">
        <v>4</v>
      </c>
      <c r="G31" s="54">
        <v>5</v>
      </c>
    </row>
    <row r="32" spans="2:7" ht="15" customHeight="1">
      <c r="B32" s="85">
        <v>10</v>
      </c>
      <c r="C32" s="21">
        <f t="dataTable" ref="C32:G37" dt2D="1" dtr="1" r1="C26" r2="C12"/>
        <v>-0.73802087779904435</v>
      </c>
      <c r="D32" s="21">
        <v>-0.39197676337225429</v>
      </c>
      <c r="E32" s="21">
        <v>-0.20690789494293127</v>
      </c>
      <c r="F32" s="21">
        <v>-0.10157781089526252</v>
      </c>
      <c r="G32" s="73">
        <v>-3.6388258369593363E-2</v>
      </c>
    </row>
    <row r="33" spans="2:7" ht="15" customHeight="1">
      <c r="B33" s="85">
        <v>15</v>
      </c>
      <c r="C33" s="21">
        <v>-0.50167500775484997</v>
      </c>
      <c r="D33" s="21">
        <v>-0.19568254162601328</v>
      </c>
      <c r="E33" s="21">
        <v>-6.2472314620900193E-2</v>
      </c>
      <c r="F33" s="21">
        <v>8.1419251699850204E-3</v>
      </c>
      <c r="G33" s="73">
        <v>5.0327963325749403E-2</v>
      </c>
    </row>
    <row r="34" spans="2:7" ht="15" customHeight="1">
      <c r="B34" s="85">
        <v>20</v>
      </c>
      <c r="C34" s="21">
        <v>-0.26532913771065547</v>
      </c>
      <c r="D34" s="21">
        <v>-3.8667127675798274E-2</v>
      </c>
      <c r="E34" s="21">
        <v>4.745997761614551E-2</v>
      </c>
      <c r="F34" s="21">
        <v>9.054830380994594E-2</v>
      </c>
      <c r="G34" s="73">
        <v>0.11530676774263626</v>
      </c>
    </row>
    <row r="35" spans="2:7" ht="15" customHeight="1">
      <c r="B35" s="85">
        <v>25</v>
      </c>
      <c r="C35" s="21">
        <v>-2.8983267666461088E-2</v>
      </c>
      <c r="D35" s="21">
        <v>9.6081752871112425E-2</v>
      </c>
      <c r="E35" s="21">
        <v>0.1381751750249145</v>
      </c>
      <c r="F35" s="21">
        <v>0.15762888804300901</v>
      </c>
      <c r="G35" s="73">
        <v>0.16793569108754536</v>
      </c>
    </row>
    <row r="36" spans="2:7" ht="15" customHeight="1">
      <c r="B36" s="85">
        <v>29.13</v>
      </c>
      <c r="C36" s="21">
        <v>0.16623842099004338</v>
      </c>
      <c r="D36" s="21">
        <v>0.19598944614342306</v>
      </c>
      <c r="E36" s="21">
        <v>0.20347444982096952</v>
      </c>
      <c r="F36" s="21">
        <v>0.20536944639284394</v>
      </c>
      <c r="G36" s="73">
        <v>0.20520616695267058</v>
      </c>
    </row>
    <row r="37" spans="2:7" ht="15" customHeight="1">
      <c r="B37" s="86">
        <v>35</v>
      </c>
      <c r="C37" s="22">
        <v>0.44370847242192757</v>
      </c>
      <c r="D37" s="22">
        <v>0.32509012678716709</v>
      </c>
      <c r="E37" s="22">
        <v>0.28560729713834587</v>
      </c>
      <c r="F37" s="22">
        <v>0.2647619777808945</v>
      </c>
      <c r="G37" s="59">
        <v>0.25133373161403094</v>
      </c>
    </row>
    <row r="39" spans="2:7" ht="15" customHeight="1">
      <c r="B39" s="94" t="s">
        <v>167</v>
      </c>
    </row>
    <row r="40" spans="2:7" ht="15" customHeight="1">
      <c r="B40" s="84"/>
      <c r="C40" s="188" t="s">
        <v>165</v>
      </c>
      <c r="D40" s="188"/>
      <c r="E40" s="188"/>
      <c r="F40" s="188"/>
      <c r="G40" s="188"/>
    </row>
    <row r="41" spans="2:7" ht="15" customHeight="1">
      <c r="B41" s="90">
        <f>$G$20</f>
        <v>2.543102114646608</v>
      </c>
      <c r="C41" s="2">
        <v>1</v>
      </c>
      <c r="D41" s="2">
        <v>2</v>
      </c>
      <c r="E41" s="2">
        <v>3</v>
      </c>
      <c r="F41" s="2">
        <v>4</v>
      </c>
      <c r="G41" s="54">
        <v>5</v>
      </c>
    </row>
    <row r="42" spans="2:7" ht="15" customHeight="1">
      <c r="B42" s="85">
        <v>10</v>
      </c>
      <c r="C42" s="51">
        <f t="dataTable" ref="C42:G47" dt2D="1" dtr="1" r1="C26" r2="C12" ca="1"/>
        <v>0.26197912220095565</v>
      </c>
      <c r="D42" s="51">
        <v>0.36969225627927965</v>
      </c>
      <c r="E42" s="51">
        <v>0.49885103770174866</v>
      </c>
      <c r="F42" s="51">
        <v>0.65151118820292298</v>
      </c>
      <c r="G42" s="88">
        <v>0.83082664522589877</v>
      </c>
    </row>
    <row r="43" spans="2:7" ht="15" customHeight="1">
      <c r="B43" s="85">
        <v>15</v>
      </c>
      <c r="C43" s="51">
        <v>0.49832499224515003</v>
      </c>
      <c r="D43" s="51">
        <v>0.64692657384518981</v>
      </c>
      <c r="E43" s="51">
        <v>0.82404761008892025</v>
      </c>
      <c r="F43" s="51">
        <v>1.0329676096909415</v>
      </c>
      <c r="G43" s="88">
        <v>1.2782760153908617</v>
      </c>
    </row>
    <row r="44" spans="2:7" ht="15" customHeight="1">
      <c r="B44" s="85">
        <v>20</v>
      </c>
      <c r="C44" s="51">
        <v>0.73467086228934453</v>
      </c>
      <c r="D44" s="51">
        <v>0.92416089141109992</v>
      </c>
      <c r="E44" s="51">
        <v>1.1492441824760919</v>
      </c>
      <c r="F44" s="51">
        <v>1.4144240311789595</v>
      </c>
      <c r="G44" s="88">
        <v>1.7257253855558246</v>
      </c>
    </row>
    <row r="45" spans="2:7" ht="15" customHeight="1">
      <c r="B45" s="85">
        <v>25</v>
      </c>
      <c r="C45" s="51">
        <v>0.97101673233353891</v>
      </c>
      <c r="D45" s="51">
        <v>1.2013952089770101</v>
      </c>
      <c r="E45" s="51">
        <v>1.4744407548632636</v>
      </c>
      <c r="F45" s="51">
        <v>1.7958804526669778</v>
      </c>
      <c r="G45" s="88">
        <v>2.1731747557207877</v>
      </c>
    </row>
    <row r="46" spans="2:7" ht="15" customHeight="1">
      <c r="B46" s="85">
        <v>29.13</v>
      </c>
      <c r="C46" s="51">
        <v>1.1662384209900434</v>
      </c>
      <c r="D46" s="51">
        <v>1.4303907552864519</v>
      </c>
      <c r="E46" s="51">
        <v>1.7430531236550673</v>
      </c>
      <c r="F46" s="51">
        <v>2.1109634568160809</v>
      </c>
      <c r="G46" s="88">
        <v>2.5427679354770469</v>
      </c>
    </row>
    <row r="47" spans="2:7" ht="15" customHeight="1">
      <c r="B47" s="86">
        <v>35</v>
      </c>
      <c r="C47" s="60">
        <v>1.4437084724219276</v>
      </c>
      <c r="D47" s="60">
        <v>1.7558638441088303</v>
      </c>
      <c r="E47" s="60">
        <v>2.1248338996376068</v>
      </c>
      <c r="F47" s="60">
        <v>2.5587932956430146</v>
      </c>
      <c r="G47" s="89">
        <v>3.0680734960507134</v>
      </c>
    </row>
    <row r="49" spans="2:7" ht="15" customHeight="1">
      <c r="E49" s="148" t="s">
        <v>172</v>
      </c>
      <c r="F49" s="149"/>
      <c r="G49" s="150"/>
    </row>
    <row r="50" spans="2:7" ht="15" customHeight="1">
      <c r="E50" s="151"/>
      <c r="F50" s="152"/>
      <c r="G50" s="153"/>
    </row>
    <row r="51" spans="2:7" ht="15" customHeight="1">
      <c r="E51" s="151"/>
      <c r="F51" s="152"/>
      <c r="G51" s="153"/>
    </row>
    <row r="52" spans="2:7" ht="15" customHeight="1">
      <c r="E52" s="151"/>
      <c r="F52" s="152"/>
      <c r="G52" s="153"/>
    </row>
    <row r="53" spans="2:7" ht="15" customHeight="1">
      <c r="E53" s="151"/>
      <c r="F53" s="152"/>
      <c r="G53" s="153"/>
    </row>
    <row r="54" spans="2:7" ht="15" customHeight="1">
      <c r="E54" s="151"/>
      <c r="F54" s="152"/>
      <c r="G54" s="153"/>
    </row>
    <row r="55" spans="2:7" ht="15" customHeight="1">
      <c r="E55" s="151"/>
      <c r="F55" s="152"/>
      <c r="G55" s="153"/>
    </row>
    <row r="56" spans="2:7" ht="15" customHeight="1">
      <c r="E56" s="154"/>
      <c r="F56" s="155"/>
      <c r="G56" s="156"/>
    </row>
    <row r="58" spans="2:7" ht="15" customHeight="1">
      <c r="B58" s="129" t="s">
        <v>173</v>
      </c>
      <c r="C58" s="129"/>
      <c r="D58" s="129"/>
      <c r="E58" s="129"/>
      <c r="F58" s="129"/>
      <c r="G58" s="129"/>
    </row>
  </sheetData>
  <mergeCells count="21">
    <mergeCell ref="E13:F13"/>
    <mergeCell ref="B6:C7"/>
    <mergeCell ref="E6:G7"/>
    <mergeCell ref="E49:G56"/>
    <mergeCell ref="B58:G58"/>
    <mergeCell ref="E14:F14"/>
    <mergeCell ref="E15:F15"/>
    <mergeCell ref="E17:F18"/>
    <mergeCell ref="G17:G18"/>
    <mergeCell ref="E20:F21"/>
    <mergeCell ref="G20:G21"/>
    <mergeCell ref="B23:G24"/>
    <mergeCell ref="B26:B27"/>
    <mergeCell ref="C26:C27"/>
    <mergeCell ref="C30:G30"/>
    <mergeCell ref="C40:G40"/>
    <mergeCell ref="B1:B4"/>
    <mergeCell ref="C1:G4"/>
    <mergeCell ref="E9:F9"/>
    <mergeCell ref="E11:F11"/>
    <mergeCell ref="E12:F12"/>
  </mergeCells>
  <printOptions horizontalCentered="1"/>
  <pageMargins left="0" right="0" top="0" bottom="0" header="0" footer="0"/>
  <pageSetup scale="88" orientation="portrait" horizontalDpi="1200" verticalDpi="1200" r:id="rId1"/>
  <colBreaks count="1" manualBreakCount="1">
    <brk id="7"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DATA</vt:lpstr>
      <vt:lpstr>COVER PAGE</vt:lpstr>
      <vt:lpstr>ASSUMPTIONS</vt:lpstr>
      <vt:lpstr>HISTORICAL DATA</vt:lpstr>
      <vt:lpstr>OPERATING FORECAST</vt:lpstr>
      <vt:lpstr>PURCHASE PRICE &amp; SOURCES, USES</vt:lpstr>
      <vt:lpstr>DEBT SCHEDULE</vt:lpstr>
      <vt:lpstr>EXIT, GAIN ANALYSIS &amp; SENSITIVI</vt:lpstr>
      <vt:lpstr>ASSUMPTIONS!Print_Area</vt:lpstr>
      <vt:lpstr>'COVER PAGE'!Print_Area</vt:lpstr>
      <vt:lpstr>'DEBT SCHEDULE'!Print_Area</vt:lpstr>
      <vt:lpstr>'EXIT, GAIN ANALYSIS &amp; SENSITIVI'!Print_Area</vt:lpstr>
      <vt:lpstr>'HISTORICAL DATA'!Print_Area</vt:lpstr>
      <vt:lpstr>'OPERATING FORECAST'!Print_Area</vt:lpstr>
      <vt:lpstr>'PURCHASE PRICE &amp; SOURCES, USES'!Print_Area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SHARWIN WAGH</dc:creator>
  <cp:lastModifiedBy>SHARWIN WAGH</cp:lastModifiedBy>
  <cp:lastPrinted>2026-06-19T07:56:17Z</cp:lastPrinted>
  <dcterms:created xsi:type="dcterms:W3CDTF">2026-06-14T19:54:27Z</dcterms:created>
  <dcterms:modified xsi:type="dcterms:W3CDTF">2026-07-25T08:44:34Z</dcterms:modified>
</cp:coreProperties>
</file>