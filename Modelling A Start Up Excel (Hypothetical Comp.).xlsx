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wati\Desktop\"/>
    </mc:Choice>
  </mc:AlternateContent>
  <xr:revisionPtr revIDLastSave="0" documentId="13_ncr:1_{5D437B73-11B0-4CE6-8068-28ACDECAB8B1}" xr6:coauthVersionLast="47" xr6:coauthVersionMax="47" xr10:uidLastSave="{00000000-0000-0000-0000-000000000000}"/>
  <bookViews>
    <workbookView xWindow="-108" yWindow="-108" windowWidth="23256" windowHeight="13896" activeTab="2" xr2:uid="{00000000-000D-0000-FFFF-FFFF00000000}"/>
  </bookViews>
  <sheets>
    <sheet name="REVENUE ASSUMPTIONS" sheetId="1" r:id="rId1"/>
    <sheet name="COST ASSUMPTIONS" sheetId="2" r:id="rId2"/>
    <sheet name="INCOME STATEMENT" sheetId="3" r:id="rId3"/>
    <sheet name="NOTES" sheetId="4" r:id="rId4"/>
  </sheets>
  <definedNames>
    <definedName name="_xlnm.Print_Area" localSheetId="1">'COST ASSUMPTIONS'!$B$1:$AA$118</definedName>
    <definedName name="_xlnm.Print_Area" localSheetId="2">'INCOME STATEMENT'!$B$1:$AA$121</definedName>
    <definedName name="_xlnm.Print_Area" localSheetId="0">'REVENUE ASSUMPTIONS'!$B$1:$AA$118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4" i="3" l="1"/>
  <c r="B63" i="3"/>
  <c r="B42" i="3"/>
  <c r="F58" i="1"/>
  <c r="G58" i="1" s="1"/>
  <c r="H58" i="1" s="1"/>
  <c r="I58" i="1" s="1"/>
  <c r="J58" i="1" s="1"/>
  <c r="K58" i="1" s="1"/>
  <c r="L58" i="1" s="1"/>
  <c r="M58" i="1" s="1"/>
  <c r="N58" i="1" s="1"/>
  <c r="O58" i="1" s="1"/>
  <c r="P58" i="1" s="1"/>
  <c r="Q58" i="1" s="1"/>
  <c r="R58" i="1" s="1"/>
  <c r="S58" i="1" s="1"/>
  <c r="T58" i="1" s="1"/>
  <c r="U58" i="1" s="1"/>
  <c r="V58" i="1" s="1"/>
  <c r="W58" i="1" s="1"/>
  <c r="X58" i="1" s="1"/>
  <c r="Y58" i="1" s="1"/>
  <c r="Z58" i="1" s="1"/>
  <c r="AA58" i="1" s="1"/>
  <c r="E58" i="1"/>
  <c r="F10" i="1"/>
  <c r="G10" i="1" s="1"/>
  <c r="H10" i="1" s="1"/>
  <c r="I10" i="1" s="1"/>
  <c r="J10" i="1" s="1"/>
  <c r="K10" i="1" s="1"/>
  <c r="L10" i="1" s="1"/>
  <c r="M10" i="1" s="1"/>
  <c r="N10" i="1" s="1"/>
  <c r="O10" i="1" s="1"/>
  <c r="P10" i="1" s="1"/>
  <c r="Q10" i="1" s="1"/>
  <c r="R10" i="1" s="1"/>
  <c r="S10" i="1" s="1"/>
  <c r="T10" i="1" s="1"/>
  <c r="U10" i="1" s="1"/>
  <c r="V10" i="1" s="1"/>
  <c r="W10" i="1" s="1"/>
  <c r="X10" i="1" s="1"/>
  <c r="Y10" i="1" s="1"/>
  <c r="Z10" i="1" s="1"/>
  <c r="AA10" i="1" s="1"/>
  <c r="E10" i="1"/>
  <c r="AA27" i="3"/>
  <c r="Z27" i="3"/>
  <c r="Y27" i="3"/>
  <c r="X27" i="3"/>
  <c r="W27" i="3"/>
  <c r="V27" i="3"/>
  <c r="U27" i="3"/>
  <c r="T27" i="3"/>
  <c r="S27" i="3"/>
  <c r="R27" i="3"/>
  <c r="Q27" i="3"/>
  <c r="P27" i="3"/>
  <c r="O27" i="3"/>
  <c r="N27" i="3"/>
  <c r="M27" i="3"/>
  <c r="L27" i="3"/>
  <c r="K27" i="3"/>
  <c r="J27" i="3"/>
  <c r="I27" i="3"/>
  <c r="H27" i="3"/>
  <c r="G27" i="3"/>
  <c r="F27" i="3"/>
  <c r="E27" i="3"/>
  <c r="AA26" i="3"/>
  <c r="Z26" i="3"/>
  <c r="Y26" i="3"/>
  <c r="X26" i="3"/>
  <c r="W26" i="3"/>
  <c r="V26" i="3"/>
  <c r="U26" i="3"/>
  <c r="T26" i="3"/>
  <c r="S26" i="3"/>
  <c r="R26" i="3"/>
  <c r="Q26" i="3"/>
  <c r="P26" i="3"/>
  <c r="O26" i="3"/>
  <c r="N26" i="3"/>
  <c r="M26" i="3"/>
  <c r="L26" i="3"/>
  <c r="K26" i="3"/>
  <c r="J26" i="3"/>
  <c r="I26" i="3"/>
  <c r="H26" i="3"/>
  <c r="G26" i="3"/>
  <c r="F26" i="3"/>
  <c r="E26" i="3"/>
  <c r="D27" i="3"/>
  <c r="D26" i="3"/>
  <c r="D16" i="3"/>
  <c r="AA5" i="3"/>
  <c r="Z5" i="3"/>
  <c r="Y5" i="3"/>
  <c r="X5" i="3"/>
  <c r="W5" i="3"/>
  <c r="V5" i="3"/>
  <c r="U5" i="3"/>
  <c r="T5" i="3"/>
  <c r="S5" i="3"/>
  <c r="R5" i="3"/>
  <c r="Q5" i="3"/>
  <c r="P5" i="3"/>
  <c r="AA5" i="2"/>
  <c r="Z5" i="2"/>
  <c r="Y5" i="2"/>
  <c r="X5" i="2"/>
  <c r="W5" i="2"/>
  <c r="V5" i="2"/>
  <c r="U5" i="2"/>
  <c r="T5" i="2"/>
  <c r="S5" i="2"/>
  <c r="R5" i="2"/>
  <c r="Q5" i="2"/>
  <c r="P5" i="2"/>
  <c r="AA76" i="1"/>
  <c r="Z76" i="1"/>
  <c r="Y76" i="1"/>
  <c r="X76" i="1"/>
  <c r="W76" i="1"/>
  <c r="V76" i="1"/>
  <c r="U76" i="1"/>
  <c r="T76" i="1"/>
  <c r="S76" i="1"/>
  <c r="R76" i="1"/>
  <c r="Q76" i="1"/>
  <c r="P76" i="1"/>
  <c r="AA64" i="1"/>
  <c r="Z64" i="1"/>
  <c r="Y64" i="1"/>
  <c r="X64" i="1"/>
  <c r="W64" i="1"/>
  <c r="V64" i="1"/>
  <c r="U64" i="1"/>
  <c r="T64" i="1"/>
  <c r="S64" i="1"/>
  <c r="R64" i="1"/>
  <c r="Q64" i="1"/>
  <c r="P64" i="1"/>
  <c r="AA52" i="1"/>
  <c r="Z52" i="1"/>
  <c r="Y52" i="1"/>
  <c r="X52" i="1"/>
  <c r="W52" i="1"/>
  <c r="V52" i="1"/>
  <c r="U52" i="1"/>
  <c r="T52" i="1"/>
  <c r="S52" i="1"/>
  <c r="R52" i="1"/>
  <c r="Q52" i="1"/>
  <c r="P52" i="1"/>
  <c r="AA40" i="1"/>
  <c r="Z40" i="1"/>
  <c r="Y40" i="1"/>
  <c r="X40" i="1"/>
  <c r="W40" i="1"/>
  <c r="V40" i="1"/>
  <c r="U40" i="1"/>
  <c r="T40" i="1"/>
  <c r="S40" i="1"/>
  <c r="R40" i="1"/>
  <c r="Q40" i="1"/>
  <c r="P40" i="1"/>
  <c r="AA28" i="1"/>
  <c r="Z28" i="1"/>
  <c r="Y28" i="1"/>
  <c r="X28" i="1"/>
  <c r="W28" i="1"/>
  <c r="V28" i="1"/>
  <c r="U28" i="1"/>
  <c r="T28" i="1"/>
  <c r="S28" i="1"/>
  <c r="R28" i="1"/>
  <c r="Q28" i="1"/>
  <c r="P28" i="1"/>
  <c r="AA16" i="1"/>
  <c r="Z16" i="1"/>
  <c r="Y16" i="1"/>
  <c r="X16" i="1"/>
  <c r="W16" i="1"/>
  <c r="V16" i="1"/>
  <c r="U16" i="1"/>
  <c r="T16" i="1"/>
  <c r="S16" i="1"/>
  <c r="R16" i="1"/>
  <c r="Q16" i="1"/>
  <c r="P16" i="1"/>
  <c r="D76" i="1"/>
  <c r="E76" i="1"/>
  <c r="F76" i="1"/>
  <c r="E57" i="1"/>
  <c r="E68" i="1" s="1"/>
  <c r="E34" i="1"/>
  <c r="F34" i="1" s="1"/>
  <c r="G34" i="1" s="1"/>
  <c r="H34" i="1" s="1"/>
  <c r="I34" i="1" s="1"/>
  <c r="J34" i="1" s="1"/>
  <c r="K34" i="1" s="1"/>
  <c r="L34" i="1" s="1"/>
  <c r="M34" i="1" s="1"/>
  <c r="N34" i="1" s="1"/>
  <c r="O34" i="1" s="1"/>
  <c r="P34" i="1" s="1"/>
  <c r="E33" i="1"/>
  <c r="F33" i="1" s="1"/>
  <c r="G33" i="1" s="1"/>
  <c r="H33" i="1" s="1"/>
  <c r="I33" i="1" s="1"/>
  <c r="J33" i="1" s="1"/>
  <c r="K33" i="1" s="1"/>
  <c r="L33" i="1" s="1"/>
  <c r="M33" i="1" s="1"/>
  <c r="N33" i="1" s="1"/>
  <c r="O33" i="1" s="1"/>
  <c r="P33" i="1" s="1"/>
  <c r="E9" i="1"/>
  <c r="E20" i="1" s="1"/>
  <c r="O5" i="3"/>
  <c r="N5" i="3"/>
  <c r="M5" i="3"/>
  <c r="L5" i="3"/>
  <c r="K5" i="3"/>
  <c r="J5" i="3"/>
  <c r="I5" i="3"/>
  <c r="H5" i="3"/>
  <c r="G5" i="3"/>
  <c r="F5" i="3"/>
  <c r="E5" i="3"/>
  <c r="D5" i="3"/>
  <c r="J4" i="3"/>
  <c r="F4" i="3"/>
  <c r="E4" i="3"/>
  <c r="D4" i="3"/>
  <c r="O28" i="1"/>
  <c r="N28" i="1"/>
  <c r="M28" i="1"/>
  <c r="L28" i="1"/>
  <c r="K28" i="1"/>
  <c r="J28" i="1"/>
  <c r="I28" i="1"/>
  <c r="H28" i="1"/>
  <c r="G28" i="1"/>
  <c r="F28" i="1"/>
  <c r="E28" i="1"/>
  <c r="D28" i="1"/>
  <c r="O52" i="1"/>
  <c r="N52" i="1"/>
  <c r="M52" i="1"/>
  <c r="L52" i="1"/>
  <c r="K52" i="1"/>
  <c r="J52" i="1"/>
  <c r="I52" i="1"/>
  <c r="H52" i="1"/>
  <c r="G52" i="1"/>
  <c r="F52" i="1"/>
  <c r="E52" i="1"/>
  <c r="D52" i="1"/>
  <c r="O76" i="1"/>
  <c r="N76" i="1"/>
  <c r="M76" i="1"/>
  <c r="L76" i="1"/>
  <c r="K76" i="1"/>
  <c r="J76" i="1"/>
  <c r="I76" i="1"/>
  <c r="H76" i="1"/>
  <c r="G76" i="1"/>
  <c r="D69" i="1"/>
  <c r="D68" i="1"/>
  <c r="D45" i="1"/>
  <c r="D44" i="1"/>
  <c r="D21" i="1"/>
  <c r="D20" i="1"/>
  <c r="O64" i="1"/>
  <c r="N64" i="1"/>
  <c r="M64" i="1"/>
  <c r="L64" i="1"/>
  <c r="K64" i="1"/>
  <c r="J64" i="1"/>
  <c r="I64" i="1"/>
  <c r="H64" i="1"/>
  <c r="G64" i="1"/>
  <c r="F64" i="1"/>
  <c r="E64" i="1"/>
  <c r="D64" i="1"/>
  <c r="O40" i="1"/>
  <c r="N40" i="1"/>
  <c r="M40" i="1"/>
  <c r="L40" i="1"/>
  <c r="K40" i="1"/>
  <c r="J40" i="1"/>
  <c r="I40" i="1"/>
  <c r="H40" i="1"/>
  <c r="G40" i="1"/>
  <c r="F40" i="1"/>
  <c r="E40" i="1"/>
  <c r="D40" i="1"/>
  <c r="O16" i="1"/>
  <c r="N16" i="1"/>
  <c r="M16" i="1"/>
  <c r="L16" i="1"/>
  <c r="K16" i="1"/>
  <c r="J16" i="1"/>
  <c r="I16" i="1"/>
  <c r="H16" i="1"/>
  <c r="G16" i="1"/>
  <c r="F16" i="1"/>
  <c r="E16" i="1"/>
  <c r="D16" i="1"/>
  <c r="D59" i="1"/>
  <c r="D35" i="1"/>
  <c r="D11" i="1"/>
  <c r="O5" i="2"/>
  <c r="N5" i="2"/>
  <c r="M5" i="2"/>
  <c r="L5" i="2"/>
  <c r="K5" i="2"/>
  <c r="J5" i="2"/>
  <c r="I5" i="2"/>
  <c r="H5" i="2"/>
  <c r="G5" i="2"/>
  <c r="F5" i="2"/>
  <c r="E5" i="2"/>
  <c r="D5" i="2"/>
  <c r="D4" i="2"/>
  <c r="E4" i="1"/>
  <c r="F4" i="1" s="1"/>
  <c r="G4" i="1" s="1"/>
  <c r="H4" i="1" s="1"/>
  <c r="I4" i="1" s="1"/>
  <c r="J4" i="1" s="1"/>
  <c r="K4" i="1" s="1"/>
  <c r="L4" i="1" s="1"/>
  <c r="M4" i="1" s="1"/>
  <c r="N4" i="1" s="1"/>
  <c r="O4" i="1" s="1"/>
  <c r="O4" i="2" s="1"/>
  <c r="F57" i="1" l="1"/>
  <c r="G57" i="1" s="1"/>
  <c r="H57" i="1" s="1"/>
  <c r="I57" i="1" s="1"/>
  <c r="J57" i="1" s="1"/>
  <c r="K57" i="1" s="1"/>
  <c r="L57" i="1" s="1"/>
  <c r="M57" i="1" s="1"/>
  <c r="N57" i="1" s="1"/>
  <c r="O57" i="1" s="1"/>
  <c r="P57" i="1" s="1"/>
  <c r="E44" i="1"/>
  <c r="Y29" i="3"/>
  <c r="P4" i="1"/>
  <c r="E11" i="1"/>
  <c r="E35" i="1"/>
  <c r="E45" i="1"/>
  <c r="D22" i="1"/>
  <c r="P35" i="1"/>
  <c r="P44" i="1"/>
  <c r="Q34" i="1"/>
  <c r="P45" i="1"/>
  <c r="E69" i="1"/>
  <c r="E70" i="1" s="1"/>
  <c r="P59" i="1"/>
  <c r="P68" i="1"/>
  <c r="G4" i="3"/>
  <c r="D70" i="1"/>
  <c r="H4" i="3"/>
  <c r="E16" i="3"/>
  <c r="I4" i="3"/>
  <c r="F9" i="1"/>
  <c r="G9" i="1" s="1"/>
  <c r="H9" i="1" s="1"/>
  <c r="I9" i="1" s="1"/>
  <c r="J9" i="1" s="1"/>
  <c r="K9" i="1" s="1"/>
  <c r="L9" i="1" s="1"/>
  <c r="M9" i="1" s="1"/>
  <c r="N9" i="1" s="1"/>
  <c r="O9" i="1" s="1"/>
  <c r="P9" i="1" s="1"/>
  <c r="Q9" i="1" s="1"/>
  <c r="Q20" i="1" s="1"/>
  <c r="K4" i="3"/>
  <c r="L4" i="3"/>
  <c r="M4" i="3"/>
  <c r="N4" i="3"/>
  <c r="O4" i="3"/>
  <c r="P4" i="2"/>
  <c r="AA29" i="3"/>
  <c r="Z29" i="3"/>
  <c r="X29" i="3"/>
  <c r="Q29" i="3"/>
  <c r="P29" i="3"/>
  <c r="R29" i="3"/>
  <c r="S29" i="3"/>
  <c r="T29" i="3"/>
  <c r="U29" i="3"/>
  <c r="V29" i="3"/>
  <c r="W29" i="3"/>
  <c r="Q57" i="1"/>
  <c r="Q68" i="1" s="1"/>
  <c r="Q33" i="1"/>
  <c r="Q44" i="1" s="1"/>
  <c r="F68" i="1"/>
  <c r="E21" i="1"/>
  <c r="E22" i="1"/>
  <c r="E29" i="3"/>
  <c r="F29" i="3"/>
  <c r="G29" i="3"/>
  <c r="H29" i="3"/>
  <c r="I29" i="3"/>
  <c r="J29" i="3"/>
  <c r="K29" i="3"/>
  <c r="D29" i="3"/>
  <c r="L29" i="3"/>
  <c r="M29" i="3"/>
  <c r="N29" i="3"/>
  <c r="O29" i="3"/>
  <c r="E59" i="1"/>
  <c r="G68" i="1"/>
  <c r="D46" i="1"/>
  <c r="H4" i="2"/>
  <c r="I4" i="2"/>
  <c r="J4" i="2"/>
  <c r="K4" i="2"/>
  <c r="L4" i="2"/>
  <c r="M4" i="2"/>
  <c r="N4" i="2"/>
  <c r="E4" i="2"/>
  <c r="F4" i="2"/>
  <c r="G4" i="2"/>
  <c r="D9" i="3" l="1"/>
  <c r="E46" i="1"/>
  <c r="D8" i="3"/>
  <c r="D17" i="3"/>
  <c r="D19" i="3" s="1"/>
  <c r="Q4" i="1"/>
  <c r="P4" i="3"/>
  <c r="P46" i="1"/>
  <c r="F16" i="3"/>
  <c r="P69" i="1"/>
  <c r="P70" i="1" s="1"/>
  <c r="P20" i="1"/>
  <c r="R34" i="1"/>
  <c r="Q45" i="1"/>
  <c r="Q46" i="1" s="1"/>
  <c r="E17" i="3"/>
  <c r="E19" i="3" s="1"/>
  <c r="E8" i="3"/>
  <c r="E9" i="3"/>
  <c r="Q59" i="1"/>
  <c r="R57" i="1"/>
  <c r="R68" i="1" s="1"/>
  <c r="Q35" i="1"/>
  <c r="R33" i="1"/>
  <c r="R44" i="1" s="1"/>
  <c r="R9" i="1"/>
  <c r="R20" i="1" s="1"/>
  <c r="F21" i="1"/>
  <c r="F11" i="1"/>
  <c r="F20" i="1"/>
  <c r="F69" i="1"/>
  <c r="F70" i="1" s="1"/>
  <c r="F59" i="1"/>
  <c r="H68" i="1"/>
  <c r="F45" i="1"/>
  <c r="F44" i="1"/>
  <c r="F46" i="1" s="1"/>
  <c r="F35" i="1"/>
  <c r="D11" i="3" l="1"/>
  <c r="D12" i="3" s="1"/>
  <c r="D31" i="3"/>
  <c r="R4" i="1"/>
  <c r="Q4" i="3"/>
  <c r="Q4" i="2"/>
  <c r="Q69" i="1"/>
  <c r="Q70" i="1" s="1"/>
  <c r="G16" i="3"/>
  <c r="S34" i="1"/>
  <c r="R45" i="1"/>
  <c r="R46" i="1" s="1"/>
  <c r="E11" i="3"/>
  <c r="E12" i="3" s="1"/>
  <c r="E31" i="3"/>
  <c r="S57" i="1"/>
  <c r="S68" i="1" s="1"/>
  <c r="R35" i="1"/>
  <c r="S33" i="1"/>
  <c r="S44" i="1" s="1"/>
  <c r="S9" i="1"/>
  <c r="S20" i="1" s="1"/>
  <c r="F22" i="1"/>
  <c r="F17" i="3" s="1"/>
  <c r="F19" i="3" s="1"/>
  <c r="G21" i="1"/>
  <c r="G20" i="1"/>
  <c r="G22" i="1" s="1"/>
  <c r="G11" i="1"/>
  <c r="G69" i="1"/>
  <c r="G70" i="1" s="1"/>
  <c r="G59" i="1"/>
  <c r="I68" i="1"/>
  <c r="G45" i="1"/>
  <c r="G44" i="1"/>
  <c r="G46" i="1" s="1"/>
  <c r="G35" i="1"/>
  <c r="D21" i="3" l="1"/>
  <c r="D22" i="3" s="1"/>
  <c r="F9" i="3"/>
  <c r="F8" i="3"/>
  <c r="E21" i="3"/>
  <c r="E22" i="3" s="1"/>
  <c r="S4" i="1"/>
  <c r="R4" i="2"/>
  <c r="R4" i="3"/>
  <c r="H16" i="3"/>
  <c r="R69" i="1"/>
  <c r="R70" i="1" s="1"/>
  <c r="R59" i="1"/>
  <c r="T34" i="1"/>
  <c r="S45" i="1"/>
  <c r="S46" i="1" s="1"/>
  <c r="G8" i="3"/>
  <c r="G17" i="3"/>
  <c r="G19" i="3" s="1"/>
  <c r="G9" i="3"/>
  <c r="T57" i="1"/>
  <c r="T68" i="1" s="1"/>
  <c r="S35" i="1"/>
  <c r="T33" i="1"/>
  <c r="T44" i="1" s="1"/>
  <c r="T9" i="1"/>
  <c r="T20" i="1" s="1"/>
  <c r="H21" i="1"/>
  <c r="H20" i="1"/>
  <c r="H22" i="1" s="1"/>
  <c r="H11" i="1"/>
  <c r="H69" i="1"/>
  <c r="H70" i="1" s="1"/>
  <c r="H59" i="1"/>
  <c r="J68" i="1"/>
  <c r="H45" i="1"/>
  <c r="H35" i="1"/>
  <c r="H44" i="1"/>
  <c r="D33" i="3" l="1"/>
  <c r="D35" i="3" s="1"/>
  <c r="D37" i="3" s="1"/>
  <c r="F11" i="3"/>
  <c r="F12" i="3" s="1"/>
  <c r="F31" i="3"/>
  <c r="E33" i="3"/>
  <c r="E35" i="3" s="1"/>
  <c r="E37" i="3" s="1"/>
  <c r="T4" i="1"/>
  <c r="S4" i="2"/>
  <c r="S4" i="3"/>
  <c r="T59" i="1"/>
  <c r="S69" i="1"/>
  <c r="S70" i="1" s="1"/>
  <c r="U34" i="1"/>
  <c r="T45" i="1"/>
  <c r="T46" i="1" s="1"/>
  <c r="S59" i="1"/>
  <c r="I16" i="3"/>
  <c r="H8" i="3"/>
  <c r="H17" i="3"/>
  <c r="H19" i="3" s="1"/>
  <c r="H9" i="3"/>
  <c r="U57" i="1"/>
  <c r="U68" i="1" s="1"/>
  <c r="T35" i="1"/>
  <c r="U33" i="1"/>
  <c r="U44" i="1" s="1"/>
  <c r="U9" i="1"/>
  <c r="U20" i="1" s="1"/>
  <c r="I21" i="1"/>
  <c r="I20" i="1"/>
  <c r="I11" i="1"/>
  <c r="G31" i="3"/>
  <c r="G11" i="3"/>
  <c r="I69" i="1"/>
  <c r="I70" i="1" s="1"/>
  <c r="I59" i="1"/>
  <c r="K68" i="1"/>
  <c r="H46" i="1"/>
  <c r="I45" i="1"/>
  <c r="I35" i="1"/>
  <c r="I44" i="1"/>
  <c r="F21" i="3" l="1"/>
  <c r="F22" i="3" s="1"/>
  <c r="I22" i="1"/>
  <c r="U4" i="1"/>
  <c r="T4" i="2"/>
  <c r="T4" i="3"/>
  <c r="J16" i="3"/>
  <c r="V34" i="1"/>
  <c r="U45" i="1"/>
  <c r="U46" i="1" s="1"/>
  <c r="U59" i="1"/>
  <c r="T69" i="1"/>
  <c r="T70" i="1" s="1"/>
  <c r="V57" i="1"/>
  <c r="V68" i="1" s="1"/>
  <c r="U35" i="1"/>
  <c r="V33" i="1"/>
  <c r="V44" i="1" s="1"/>
  <c r="V9" i="1"/>
  <c r="V20" i="1" s="1"/>
  <c r="I46" i="1"/>
  <c r="J21" i="1"/>
  <c r="H31" i="3"/>
  <c r="G21" i="3"/>
  <c r="G12" i="3"/>
  <c r="J11" i="1"/>
  <c r="J20" i="1"/>
  <c r="H11" i="3"/>
  <c r="J69" i="1"/>
  <c r="J70" i="1" s="1"/>
  <c r="J59" i="1"/>
  <c r="L68" i="1"/>
  <c r="J45" i="1"/>
  <c r="J44" i="1"/>
  <c r="J46" i="1" s="1"/>
  <c r="J35" i="1"/>
  <c r="I8" i="3" l="1"/>
  <c r="J22" i="1"/>
  <c r="F33" i="3"/>
  <c r="F35" i="3" s="1"/>
  <c r="F37" i="3" s="1"/>
  <c r="I9" i="3"/>
  <c r="I17" i="3"/>
  <c r="I19" i="3" s="1"/>
  <c r="V4" i="1"/>
  <c r="U4" i="2"/>
  <c r="U4" i="3"/>
  <c r="U69" i="1"/>
  <c r="U70" i="1" s="1"/>
  <c r="W34" i="1"/>
  <c r="V45" i="1"/>
  <c r="V46" i="1" s="1"/>
  <c r="K16" i="3"/>
  <c r="J8" i="3"/>
  <c r="J17" i="3"/>
  <c r="J19" i="3" s="1"/>
  <c r="J9" i="3"/>
  <c r="V59" i="1"/>
  <c r="W57" i="1"/>
  <c r="W68" i="1" s="1"/>
  <c r="V35" i="1"/>
  <c r="W33" i="1"/>
  <c r="W44" i="1" s="1"/>
  <c r="W9" i="1"/>
  <c r="W20" i="1" s="1"/>
  <c r="K21" i="1"/>
  <c r="H12" i="3"/>
  <c r="H21" i="3"/>
  <c r="K11" i="1"/>
  <c r="K20" i="1"/>
  <c r="G22" i="3"/>
  <c r="G33" i="3"/>
  <c r="G35" i="3" s="1"/>
  <c r="G37" i="3" s="1"/>
  <c r="K69" i="1"/>
  <c r="K70" i="1" s="1"/>
  <c r="K59" i="1"/>
  <c r="M68" i="1"/>
  <c r="K45" i="1"/>
  <c r="K44" i="1"/>
  <c r="K35" i="1"/>
  <c r="K46" i="1" l="1"/>
  <c r="K17" i="3" s="1"/>
  <c r="K19" i="3" s="1"/>
  <c r="I11" i="3"/>
  <c r="I31" i="3"/>
  <c r="W4" i="1"/>
  <c r="V4" i="2"/>
  <c r="V4" i="3"/>
  <c r="L16" i="3"/>
  <c r="X34" i="1"/>
  <c r="W45" i="1"/>
  <c r="W46" i="1" s="1"/>
  <c r="K22" i="1"/>
  <c r="V69" i="1"/>
  <c r="V70" i="1" s="1"/>
  <c r="W59" i="1"/>
  <c r="X57" i="1"/>
  <c r="X68" i="1" s="1"/>
  <c r="W35" i="1"/>
  <c r="X33" i="1"/>
  <c r="X44" i="1" s="1"/>
  <c r="X9" i="1"/>
  <c r="X20" i="1" s="1"/>
  <c r="J11" i="3"/>
  <c r="J12" i="3" s="1"/>
  <c r="L21" i="1"/>
  <c r="L11" i="1"/>
  <c r="L20" i="1"/>
  <c r="J31" i="3"/>
  <c r="I12" i="3"/>
  <c r="I21" i="3"/>
  <c r="H22" i="3"/>
  <c r="H33" i="3"/>
  <c r="H35" i="3" s="1"/>
  <c r="H37" i="3" s="1"/>
  <c r="L69" i="1"/>
  <c r="L70" i="1" s="1"/>
  <c r="L59" i="1"/>
  <c r="N68" i="1"/>
  <c r="L45" i="1"/>
  <c r="L44" i="1"/>
  <c r="L46" i="1" s="1"/>
  <c r="L35" i="1"/>
  <c r="K9" i="3" l="1"/>
  <c r="K31" i="3" s="1"/>
  <c r="K8" i="3"/>
  <c r="L22" i="1"/>
  <c r="X4" i="1"/>
  <c r="W4" i="2"/>
  <c r="W4" i="3"/>
  <c r="M16" i="3"/>
  <c r="Y34" i="1"/>
  <c r="X45" i="1"/>
  <c r="X46" i="1" s="1"/>
  <c r="W69" i="1"/>
  <c r="W70" i="1" s="1"/>
  <c r="L9" i="3"/>
  <c r="L17" i="3"/>
  <c r="L19" i="3" s="1"/>
  <c r="L8" i="3"/>
  <c r="X59" i="1"/>
  <c r="Y57" i="1"/>
  <c r="Y68" i="1" s="1"/>
  <c r="X35" i="1"/>
  <c r="Y33" i="1"/>
  <c r="Y44" i="1" s="1"/>
  <c r="Y9" i="1"/>
  <c r="Y20" i="1" s="1"/>
  <c r="J21" i="3"/>
  <c r="J22" i="3" s="1"/>
  <c r="M21" i="1"/>
  <c r="I22" i="3"/>
  <c r="I33" i="3"/>
  <c r="I35" i="3" s="1"/>
  <c r="I37" i="3" s="1"/>
  <c r="M11" i="1"/>
  <c r="M20" i="1"/>
  <c r="M22" i="1" s="1"/>
  <c r="M69" i="1"/>
  <c r="M70" i="1" s="1"/>
  <c r="M59" i="1"/>
  <c r="O68" i="1"/>
  <c r="M45" i="1"/>
  <c r="M44" i="1"/>
  <c r="M35" i="1"/>
  <c r="K11" i="3" l="1"/>
  <c r="K12" i="3" s="1"/>
  <c r="Y4" i="1"/>
  <c r="X4" i="3"/>
  <c r="X4" i="2"/>
  <c r="Y59" i="1"/>
  <c r="X69" i="1"/>
  <c r="X70" i="1" s="1"/>
  <c r="Z34" i="1"/>
  <c r="Y45" i="1"/>
  <c r="Y46" i="1" s="1"/>
  <c r="N16" i="3"/>
  <c r="M17" i="3"/>
  <c r="M19" i="3" s="1"/>
  <c r="M9" i="3"/>
  <c r="M8" i="3"/>
  <c r="Z57" i="1"/>
  <c r="Z68" i="1" s="1"/>
  <c r="Y35" i="1"/>
  <c r="Z33" i="1"/>
  <c r="Z44" i="1" s="1"/>
  <c r="Z9" i="1"/>
  <c r="Z20" i="1" s="1"/>
  <c r="J33" i="3"/>
  <c r="J35" i="3" s="1"/>
  <c r="J37" i="3" s="1"/>
  <c r="L11" i="3"/>
  <c r="L12" i="3" s="1"/>
  <c r="N21" i="1"/>
  <c r="L31" i="3"/>
  <c r="N11" i="1"/>
  <c r="N20" i="1"/>
  <c r="N69" i="1"/>
  <c r="N70" i="1" s="1"/>
  <c r="N59" i="1"/>
  <c r="M46" i="1"/>
  <c r="O45" i="1"/>
  <c r="N45" i="1"/>
  <c r="N44" i="1"/>
  <c r="N46" i="1" s="1"/>
  <c r="N35" i="1"/>
  <c r="K21" i="3" l="1"/>
  <c r="K22" i="3" s="1"/>
  <c r="N22" i="1"/>
  <c r="Z4" i="1"/>
  <c r="Y4" i="2"/>
  <c r="Y4" i="3"/>
  <c r="AA34" i="1"/>
  <c r="AA45" i="1" s="1"/>
  <c r="Z45" i="1"/>
  <c r="Z46" i="1"/>
  <c r="O16" i="3"/>
  <c r="Y69" i="1"/>
  <c r="Y70" i="1" s="1"/>
  <c r="N8" i="3"/>
  <c r="N17" i="3"/>
  <c r="N19" i="3" s="1"/>
  <c r="N9" i="3"/>
  <c r="Z59" i="1"/>
  <c r="AA57" i="1"/>
  <c r="Z35" i="1"/>
  <c r="AA33" i="1"/>
  <c r="AA9" i="1"/>
  <c r="L21" i="3"/>
  <c r="L22" i="3" s="1"/>
  <c r="M11" i="3"/>
  <c r="M21" i="3" s="1"/>
  <c r="O21" i="1"/>
  <c r="M31" i="3"/>
  <c r="O20" i="1"/>
  <c r="O11" i="1"/>
  <c r="O69" i="1"/>
  <c r="O70" i="1" s="1"/>
  <c r="O59" i="1"/>
  <c r="O44" i="1"/>
  <c r="O46" i="1" s="1"/>
  <c r="O35" i="1"/>
  <c r="K33" i="3" l="1"/>
  <c r="K35" i="3" s="1"/>
  <c r="K37" i="3" s="1"/>
  <c r="AA4" i="1"/>
  <c r="Z4" i="3"/>
  <c r="Z4" i="2"/>
  <c r="AA68" i="1"/>
  <c r="AA69" i="1"/>
  <c r="Z69" i="1"/>
  <c r="Z70" i="1" s="1"/>
  <c r="AA20" i="1"/>
  <c r="AA35" i="1"/>
  <c r="AA44" i="1"/>
  <c r="AA46" i="1" s="1"/>
  <c r="P21" i="1"/>
  <c r="P22" i="1" s="1"/>
  <c r="P16" i="3"/>
  <c r="P11" i="1"/>
  <c r="L33" i="3"/>
  <c r="L35" i="3" s="1"/>
  <c r="L37" i="3" s="1"/>
  <c r="M12" i="3"/>
  <c r="O22" i="1"/>
  <c r="O9" i="3" s="1"/>
  <c r="N11" i="3"/>
  <c r="N12" i="3" s="1"/>
  <c r="N31" i="3"/>
  <c r="M22" i="3"/>
  <c r="M33" i="3"/>
  <c r="M35" i="3" s="1"/>
  <c r="M37" i="3" s="1"/>
  <c r="AA4" i="3" l="1"/>
  <c r="AA4" i="2"/>
  <c r="O8" i="3"/>
  <c r="O11" i="3" s="1"/>
  <c r="O12" i="3" s="1"/>
  <c r="O17" i="3"/>
  <c r="O19" i="3" s="1"/>
  <c r="O31" i="3" s="1"/>
  <c r="P17" i="3"/>
  <c r="P19" i="3" s="1"/>
  <c r="P9" i="3"/>
  <c r="P8" i="3"/>
  <c r="Q21" i="1"/>
  <c r="Q22" i="1" s="1"/>
  <c r="Q16" i="3"/>
  <c r="Q11" i="1"/>
  <c r="AA70" i="1"/>
  <c r="AA59" i="1"/>
  <c r="N21" i="3"/>
  <c r="N22" i="3" s="1"/>
  <c r="Q17" i="3" l="1"/>
  <c r="Q19" i="3" s="1"/>
  <c r="Q9" i="3"/>
  <c r="Q8" i="3"/>
  <c r="P11" i="3"/>
  <c r="R21" i="1"/>
  <c r="R22" i="1" s="1"/>
  <c r="R16" i="3"/>
  <c r="R11" i="1"/>
  <c r="P31" i="3"/>
  <c r="N33" i="3"/>
  <c r="N35" i="3" s="1"/>
  <c r="N37" i="3" s="1"/>
  <c r="O21" i="3"/>
  <c r="O22" i="3" s="1"/>
  <c r="O33" i="3" l="1"/>
  <c r="O35" i="3" s="1"/>
  <c r="O37" i="3" s="1"/>
  <c r="R17" i="3"/>
  <c r="R19" i="3" s="1"/>
  <c r="R8" i="3"/>
  <c r="R9" i="3"/>
  <c r="S21" i="1"/>
  <c r="S22" i="1" s="1"/>
  <c r="S16" i="3"/>
  <c r="S11" i="1"/>
  <c r="P21" i="3"/>
  <c r="P12" i="3"/>
  <c r="Q11" i="3"/>
  <c r="Q31" i="3"/>
  <c r="S8" i="3" l="1"/>
  <c r="S17" i="3"/>
  <c r="S19" i="3" s="1"/>
  <c r="S9" i="3"/>
  <c r="T21" i="1"/>
  <c r="T22" i="1" s="1"/>
  <c r="T16" i="3"/>
  <c r="T11" i="1"/>
  <c r="R11" i="3"/>
  <c r="R31" i="3"/>
  <c r="Q21" i="3"/>
  <c r="Q12" i="3"/>
  <c r="P22" i="3"/>
  <c r="P33" i="3"/>
  <c r="P35" i="3" s="1"/>
  <c r="P37" i="3" s="1"/>
  <c r="T17" i="3" l="1"/>
  <c r="T19" i="3" s="1"/>
  <c r="T9" i="3"/>
  <c r="T8" i="3"/>
  <c r="Q22" i="3"/>
  <c r="Q33" i="3"/>
  <c r="Q35" i="3" s="1"/>
  <c r="Q37" i="3" s="1"/>
  <c r="R21" i="3"/>
  <c r="R12" i="3"/>
  <c r="U21" i="1"/>
  <c r="U22" i="1" s="1"/>
  <c r="U16" i="3"/>
  <c r="U11" i="1"/>
  <c r="S31" i="3"/>
  <c r="S11" i="3"/>
  <c r="S21" i="3" l="1"/>
  <c r="S12" i="3"/>
  <c r="U8" i="3"/>
  <c r="U17" i="3"/>
  <c r="U19" i="3" s="1"/>
  <c r="U9" i="3"/>
  <c r="V16" i="3"/>
  <c r="V21" i="1"/>
  <c r="V22" i="1" s="1"/>
  <c r="V11" i="1"/>
  <c r="R33" i="3"/>
  <c r="R22" i="3"/>
  <c r="T11" i="3"/>
  <c r="T31" i="3"/>
  <c r="U11" i="3" l="1"/>
  <c r="U12" i="3" s="1"/>
  <c r="T21" i="3"/>
  <c r="T12" i="3"/>
  <c r="R35" i="3"/>
  <c r="R37" i="3" s="1"/>
  <c r="V17" i="3"/>
  <c r="V19" i="3" s="1"/>
  <c r="V9" i="3"/>
  <c r="V8" i="3"/>
  <c r="W16" i="3"/>
  <c r="W21" i="1"/>
  <c r="W22" i="1" s="1"/>
  <c r="W11" i="1"/>
  <c r="U31" i="3"/>
  <c r="S33" i="3"/>
  <c r="S22" i="3"/>
  <c r="U21" i="3" l="1"/>
  <c r="U22" i="3" s="1"/>
  <c r="V11" i="3"/>
  <c r="V21" i="3" s="1"/>
  <c r="V31" i="3"/>
  <c r="T33" i="3"/>
  <c r="T35" i="3" s="1"/>
  <c r="T37" i="3" s="1"/>
  <c r="T22" i="3"/>
  <c r="S35" i="3"/>
  <c r="S37" i="3" s="1"/>
  <c r="W9" i="3"/>
  <c r="W17" i="3"/>
  <c r="W19" i="3" s="1"/>
  <c r="W8" i="3"/>
  <c r="X16" i="3"/>
  <c r="X21" i="1"/>
  <c r="X22" i="1" s="1"/>
  <c r="X11" i="1"/>
  <c r="U33" i="3" l="1"/>
  <c r="U35" i="3" s="1"/>
  <c r="U37" i="3" s="1"/>
  <c r="W31" i="3"/>
  <c r="V12" i="3"/>
  <c r="X8" i="3"/>
  <c r="X9" i="3"/>
  <c r="X17" i="3"/>
  <c r="X19" i="3" s="1"/>
  <c r="W11" i="3"/>
  <c r="Y21" i="1"/>
  <c r="Y22" i="1" s="1"/>
  <c r="Y16" i="3"/>
  <c r="Y11" i="1"/>
  <c r="V22" i="3"/>
  <c r="V33" i="3"/>
  <c r="V35" i="3" s="1"/>
  <c r="V37" i="3" s="1"/>
  <c r="X31" i="3" l="1"/>
  <c r="Y8" i="3"/>
  <c r="Y17" i="3"/>
  <c r="Y19" i="3" s="1"/>
  <c r="Y9" i="3"/>
  <c r="Z16" i="3"/>
  <c r="Z21" i="1"/>
  <c r="Z22" i="1" s="1"/>
  <c r="Z11" i="1"/>
  <c r="W12" i="3"/>
  <c r="W21" i="3"/>
  <c r="X11" i="3"/>
  <c r="Y11" i="3" l="1"/>
  <c r="Y12" i="3" s="1"/>
  <c r="Z17" i="3"/>
  <c r="Z19" i="3" s="1"/>
  <c r="Z8" i="3"/>
  <c r="Z9" i="3"/>
  <c r="AA16" i="3"/>
  <c r="AA21" i="1"/>
  <c r="AA22" i="1" s="1"/>
  <c r="AA11" i="1"/>
  <c r="Y31" i="3"/>
  <c r="X12" i="3"/>
  <c r="X21" i="3"/>
  <c r="W33" i="3"/>
  <c r="W35" i="3" s="1"/>
  <c r="W37" i="3" s="1"/>
  <c r="W22" i="3"/>
  <c r="Y21" i="3" l="1"/>
  <c r="Y33" i="3" s="1"/>
  <c r="Y35" i="3" s="1"/>
  <c r="Y37" i="3" s="1"/>
  <c r="AA17" i="3"/>
  <c r="AA19" i="3" s="1"/>
  <c r="AA8" i="3"/>
  <c r="AA9" i="3"/>
  <c r="Z11" i="3"/>
  <c r="Z31" i="3"/>
  <c r="X22" i="3"/>
  <c r="X33" i="3"/>
  <c r="X35" i="3" s="1"/>
  <c r="X37" i="3" s="1"/>
  <c r="AA31" i="3" l="1"/>
  <c r="Y22" i="3"/>
  <c r="AA11" i="3"/>
  <c r="AA12" i="3" s="1"/>
  <c r="Z12" i="3"/>
  <c r="Z21" i="3"/>
  <c r="AA21" i="3" l="1"/>
  <c r="AA33" i="3" s="1"/>
  <c r="AA35" i="3" s="1"/>
  <c r="AA37" i="3" s="1"/>
  <c r="Z22" i="3"/>
  <c r="Z33" i="3"/>
  <c r="Z35" i="3" s="1"/>
  <c r="Z37" i="3" s="1"/>
  <c r="AA22" i="3" l="1"/>
</calcChain>
</file>

<file path=xl/sharedStrings.xml><?xml version="1.0" encoding="utf-8"?>
<sst xmlns="http://schemas.openxmlformats.org/spreadsheetml/2006/main" count="274" uniqueCount="114">
  <si>
    <t>Assumptions</t>
  </si>
  <si>
    <t>Month 1</t>
  </si>
  <si>
    <t>Month 2</t>
  </si>
  <si>
    <t>Month 3</t>
  </si>
  <si>
    <t>Month 4</t>
  </si>
  <si>
    <t>Month 5</t>
  </si>
  <si>
    <t>Month 6</t>
  </si>
  <si>
    <t>Month 7</t>
  </si>
  <si>
    <t>Month 8</t>
  </si>
  <si>
    <t>Month 9</t>
  </si>
  <si>
    <t>Month 10</t>
  </si>
  <si>
    <t>Month 11</t>
  </si>
  <si>
    <t>Month 12</t>
  </si>
  <si>
    <t>Revenue Assumptions</t>
  </si>
  <si>
    <t>Page Traffic</t>
  </si>
  <si>
    <t>Organic</t>
  </si>
  <si>
    <t>Paid</t>
  </si>
  <si>
    <t>Total Traffic</t>
  </si>
  <si>
    <t>Conversion Rate</t>
  </si>
  <si>
    <t>Average Conversion</t>
  </si>
  <si>
    <t>Orders</t>
  </si>
  <si>
    <t>Total Orders</t>
  </si>
  <si>
    <t>Order Details</t>
  </si>
  <si>
    <t>Average Item Value</t>
  </si>
  <si>
    <t># of Items per Order</t>
  </si>
  <si>
    <t>Average Order Value</t>
  </si>
  <si>
    <t>Cost Assumptions</t>
  </si>
  <si>
    <t>Variable</t>
  </si>
  <si>
    <t>Manufacturing (Per Order)</t>
  </si>
  <si>
    <t>Order Fulfillment (Per Order)</t>
  </si>
  <si>
    <t>Paid Traffic (Cost per Paid Click)</t>
  </si>
  <si>
    <t xml:space="preserve">Fixed </t>
  </si>
  <si>
    <t>Warehouse Rent</t>
  </si>
  <si>
    <t>Office Rent</t>
  </si>
  <si>
    <t>Salaries</t>
  </si>
  <si>
    <t>Other</t>
  </si>
  <si>
    <t>Tax Rate</t>
  </si>
  <si>
    <t>Best Case</t>
  </si>
  <si>
    <t>Base Case</t>
  </si>
  <si>
    <t>Worst Case</t>
  </si>
  <si>
    <t>Unit</t>
  </si>
  <si>
    <t>FINANCIAL MODEL FOR START UP</t>
  </si>
  <si>
    <t>Cost Assumption</t>
  </si>
  <si>
    <t>Revenue Assumption</t>
  </si>
  <si>
    <t>#</t>
  </si>
  <si>
    <t>%</t>
  </si>
  <si>
    <t>₹</t>
  </si>
  <si>
    <t>Income Statement</t>
  </si>
  <si>
    <t>Revenue</t>
  </si>
  <si>
    <t>COGS</t>
  </si>
  <si>
    <t>Variable Cost</t>
  </si>
  <si>
    <t>Marketing</t>
  </si>
  <si>
    <t>Fulfillment</t>
  </si>
  <si>
    <t>Total Variable Cost</t>
  </si>
  <si>
    <t>Contribution Margin</t>
  </si>
  <si>
    <t>Contribution Margin %</t>
  </si>
  <si>
    <t>Gross Profit</t>
  </si>
  <si>
    <t>Gross Profit Margin %</t>
  </si>
  <si>
    <t>Choose case scenario for better visualization</t>
  </si>
  <si>
    <t>Fixed Cost</t>
  </si>
  <si>
    <t xml:space="preserve">General &amp; Administrative </t>
  </si>
  <si>
    <t>Total Fixed Cost</t>
  </si>
  <si>
    <t>Total Cost</t>
  </si>
  <si>
    <t>EBT</t>
  </si>
  <si>
    <t>Tax</t>
  </si>
  <si>
    <t>Net Profit</t>
  </si>
  <si>
    <t>Month 13</t>
  </si>
  <si>
    <t>Month 14</t>
  </si>
  <si>
    <t>Month 15</t>
  </si>
  <si>
    <t>Month 16</t>
  </si>
  <si>
    <t>Month 17</t>
  </si>
  <si>
    <t>Month 18</t>
  </si>
  <si>
    <t>Month 19</t>
  </si>
  <si>
    <t>Month 20</t>
  </si>
  <si>
    <t>Month 21</t>
  </si>
  <si>
    <t>Month 22</t>
  </si>
  <si>
    <t>Month 23</t>
  </si>
  <si>
    <t>Month 24</t>
  </si>
  <si>
    <t>Page Traffic - Organic / Paid</t>
  </si>
  <si>
    <t>Conversion Rate - Organic / Paid</t>
  </si>
  <si>
    <t>Revenue Forecast</t>
  </si>
  <si>
    <t>Total Cost Forecast</t>
  </si>
  <si>
    <t>Net Profit Forecast</t>
  </si>
  <si>
    <t>Best Case Variable Cost</t>
  </si>
  <si>
    <t>Best Case Fixed Cost</t>
  </si>
  <si>
    <t>Worst Case Variable Cost</t>
  </si>
  <si>
    <t>Worst Case Fixed Cost</t>
  </si>
  <si>
    <t>Base Case Variable Cost</t>
  </si>
  <si>
    <t>Base Case Fixed Cost</t>
  </si>
  <si>
    <t>Total Cast Forecast</t>
  </si>
  <si>
    <t>Best</t>
  </si>
  <si>
    <t>Base</t>
  </si>
  <si>
    <t>Worst</t>
  </si>
  <si>
    <t>In the base-case scenario, total costs rise steadily as the business expands its operations. The increase is primarily driven by variable costs that move in line with revenue growth, such as production, marketing, and operational expenses. Fixed costs remain largely stable, showing effective budgeting and cost discipline.
Furthermore, cost growth remains proportionate to revenue, preventing margin pressure. Overall, the cost structure reflects balanced growth with controlled spending under expected business conditions.</t>
  </si>
  <si>
    <t>In the base-case scenario, net income remains negative during the initial periods as the startup continues to invest in growth and operations. As revenues improve and cost efficiency increases, the company reaches breakeven and transitions into positive net income. Profit growth thereafter is gradual, reflecting a cautious and realistic improvement in margins.
Additionally, stable cost control supports consistent profitability in later periods. Overall, the net income trend indicates a financially viable business with sustainable long-term performance in the base-case scenario.</t>
  </si>
  <si>
    <t>In the worst-case scenario, total costs remain relatively high and increase steadily despite slower revenue growth. A significant portion of costs is fixed in nature, limiting the company’s ability to reduce expenses in line with declining performance. Variable costs do not scale efficiently due to lower volumes, leading to weaker cost absorption.
Furthermore, limited operating leverage results in sustained cost pressure on margins. Overall, the cost structure reflects operational rigidity and reduced flexibility under adverse conditions.</t>
  </si>
  <si>
    <t>In the worst-case scenario, net income remains negative throughout most of the forecast period as revenues are insufficient to cover total costs. Persistent losses are driven by high fixed expenses and weak margin expansion. Even as revenue improves slightly in later periods, profitability remains under pressure.
Additionally, delayed breakeven and continued cash outflows increase financial risk. Overall, the net income trend indicates a stressed financial position and highlights the importance of cost restructuring and strategic intervention in adverse conditions.</t>
  </si>
  <si>
    <t>In the best-case scenario, the startup’s revenue shows strong and consistent month-on-month growth throughout the forecast period. This growth reflects increasing customer adoption, successful market penetration, and effective pricing and sales strategies. The steady rise in revenue also indicates growing brand awareness, improved customer retention, and the ability of the business to scale operations efficiently without demand constraints. Additionally, revenue growth benefits from repeat customers and higher transaction volumes over time.</t>
  </si>
  <si>
    <t xml:space="preserve">In the best-case scenario, total costs increase gradually over the forecast period as the business scales its operations. The rise in costs is mainly driven by variable expenses such as production, logistics, and sales-related costs, which grow in line with revenue. Fixed costs remain relatively stable, reflecting disciplined financial planning and efficient resource allocation.
Additionally, improved operational efficiency helps contain cost escalation despite higher activity levels. Overall, the cost trend indicates strong cost control and the presence of operating leverage </t>
  </si>
  <si>
    <t>In the best-case scenario, net income is negative during the initial periods as the startup incurs higher expenses related to setup, marketing, and expansion. As revenue grows and fixed costs are spread across a larger sales base, the company reaches breakeven and begins generating positive net income. Profitability improves steadily over time due to stronger margins and controlled cost growth.
Additionally, increasing operating leverage amplifies earnings as revenues scale faster than expenses. Overall, the net income trend reflects a financially sustainable and scalable.</t>
  </si>
  <si>
    <t xml:space="preserve">In the base-case scenario, the startup’s revenue shows steady and moderate month-on-month growth over the forecast period. This growth reflects gradual customer acquisition, improving market awareness, and consistent sales performance. Revenue increases at a controlled pace, indicating stable demand and a realistic scaling strategy rather than aggressive expansion.
Additionally, growth is supported by repeat customers and incremental improvements in pricing and distribution. Overall, the revenue trend represents a sustainable and achievable growth path </t>
  </si>
  <si>
    <t xml:space="preserve">In the worst-case scenario, the startup’s revenue grows slowly and remains volatile over the forecast period. This reflects weak customer acquisition, slower market penetration, and limited demand under unfavorable business conditions. Revenue growth is modest in the early and mid periods, indicating challenges in scaling and achieving consistent sales momentum.
Additionally, lower repeat purchases and pricing pressure restrict overall revenue expansion. Overall, the revenue trend highlights constrained growth </t>
  </si>
  <si>
    <t>The numbers mentioned at x - axis from 1 - 24 denotes months</t>
  </si>
  <si>
    <t>Page traffic grows strongly over time, supported by scalable organic reach and effective paid acquisition.</t>
  </si>
  <si>
    <t>Page traffic grows steadily at a moderate pace under normal operating conditions.</t>
  </si>
  <si>
    <t>Page traffic growth remains slow and constrained due to weak organic and paid performance.</t>
  </si>
  <si>
    <t>Conversions increase rapidly with rising traffic, resulting in higher and accelerating order volumes.</t>
  </si>
  <si>
    <t>Conversions rise gradually in line with traffic growth, maintaining stable order expansion.</t>
  </si>
  <si>
    <t>Conversions stay limited, leading to low and slow-growing order volumes.</t>
  </si>
  <si>
    <t>Prepared for educational purpose</t>
  </si>
  <si>
    <r>
      <rPr>
        <b/>
        <sz val="11"/>
        <color theme="1"/>
        <rFont val="Arial"/>
        <family val="2"/>
      </rPr>
      <t>Variable Cost:</t>
    </r>
    <r>
      <rPr>
        <sz val="11"/>
        <color theme="1"/>
        <rFont val="Arial"/>
        <family val="2"/>
      </rPr>
      <t xml:space="preserve">
Variable costs scale efficiently with higher volumes due to operational efficiencies and improved cost control. Per-unit costs remain stable or decline as scale benefits are realized.
</t>
    </r>
    <r>
      <rPr>
        <b/>
        <sz val="11"/>
        <color theme="1"/>
        <rFont val="Arial"/>
        <family val="2"/>
      </rPr>
      <t>Fixed Cost:</t>
    </r>
    <r>
      <rPr>
        <sz val="11"/>
        <color theme="1"/>
        <rFont val="Arial"/>
        <family val="2"/>
      </rPr>
      <t xml:space="preserve">
Fixed costs remain largely stable, reflecting disciplined expense management. Revenue growth creates strong operating leverage over time.</t>
    </r>
  </si>
  <si>
    <r>
      <rPr>
        <b/>
        <sz val="11"/>
        <color theme="1"/>
        <rFont val="Arial"/>
        <family val="2"/>
      </rPr>
      <t>Variable Cost:</t>
    </r>
    <r>
      <rPr>
        <sz val="11"/>
        <color theme="1"/>
        <rFont val="Arial"/>
        <family val="2"/>
      </rPr>
      <t xml:space="preserve">
Variable costs increase proportionately with sales growth under normal operating conditions. Cost behavior remains predictable without major efficiency gains or overruns.
</t>
    </r>
    <r>
      <rPr>
        <b/>
        <sz val="11"/>
        <color theme="1"/>
        <rFont val="Arial"/>
        <family val="2"/>
      </rPr>
      <t>Fixed Cost:</t>
    </r>
    <r>
      <rPr>
        <sz val="11"/>
        <color theme="1"/>
        <rFont val="Arial"/>
        <family val="2"/>
      </rPr>
      <t xml:space="preserve">
Fixed costs rise gradually due to normal increases in rent, salaries, and overheads. Overall cost levels remain aligned with business growth.</t>
    </r>
  </si>
  <si>
    <r>
      <rPr>
        <b/>
        <sz val="11"/>
        <color theme="1"/>
        <rFont val="Arial"/>
        <family val="2"/>
      </rPr>
      <t>Variable Cost:</t>
    </r>
    <r>
      <rPr>
        <sz val="11"/>
        <color theme="1"/>
        <rFont val="Arial"/>
        <family val="2"/>
      </rPr>
      <t xml:space="preserve">
Variable costs remain elevated due to lower volumes and reduced operational efficiency. Higher per-unit costs put pressure on overall margins.
</t>
    </r>
    <r>
      <rPr>
        <b/>
        <sz val="11"/>
        <color theme="1"/>
        <rFont val="Arial"/>
        <family val="2"/>
      </rPr>
      <t>Fixed Cost:</t>
    </r>
    <r>
      <rPr>
        <sz val="11"/>
        <color theme="1"/>
        <rFont val="Arial"/>
        <family val="2"/>
      </rPr>
      <t xml:space="preserve">
Fixed costs remain largely inflexible despite weaker revenues. This limits cost adjustment and increases financial strain in adverse conditions.</t>
    </r>
  </si>
  <si>
    <t>This financial model has been created for a hypothetical startup with the objective of understanding how core financial statements are built and how assumptions drive overall business performance. The model is intentionally kept simple and focuses on three key components: revenue assumptions, cost assumptions, and the income statement. All figures used in the model are assumed purely for educational and learning purposes.
Revenue assumptions are derived by estimating basic business drivers such as customer activity and pricing logic, allowing a structured view of how top-line growth could evolve over time. Cost assumptions are divided into variable and fixed costs to clearly understand the operational cost structure and its impact on profitability. These assumptions flow directly into the income statement, which highlights key metrics such as gross profit, operating profit, and net income.
To assess uncertainty and risk, the model incorporates best-case, base-case, and worst-case scenarios. These scenarios help evaluate how changes in revenue and cost behavior can affect financial outcomes. However, for presentation clarity, only the base-case scenario is reflected in the final PDF, as it represents the most realistic and balanced outlook.
Overall, this model demonstrates a foundational approach to financial modeling, emphasizes logical assumption-building, and provides a structured framework for analyzing startup-level financial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</si>
</sst>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quot;--&quot;"/>
    <numFmt numFmtId="165" formatCode="0.0%"/>
    <numFmt numFmtId="166" formatCode="_ [$₹-4009]\ * #,##0.00_ ;_ [$₹-4009]\ * \-#,##0.00_ ;_ [$₹-4009]\ * &quot;-&quot;??_ ;_ @_ "/>
  </numFmts>
  <fonts count="15" x14ac:knownFonts="1">
    <font>
      <sz val="11"/>
      <color theme="1"/>
      <name val="Calibri"/>
      <family val="2"/>
      <scheme val="minor"/>
    </font>
    <font>
      <sz val="11"/>
      <color theme="1"/>
      <name val="Arial"/>
      <family val="2"/>
    </font>
    <font>
      <b/>
      <sz val="11"/>
      <color theme="0"/>
      <name val="Arial"/>
      <family val="2"/>
    </font>
    <font>
      <b/>
      <sz val="11"/>
      <color theme="1"/>
      <name val="Arial"/>
      <family val="2"/>
    </font>
    <font>
      <sz val="11"/>
      <color theme="1"/>
      <name val="Bahnschrift Light Condensed"/>
      <family val="2"/>
    </font>
    <font>
      <sz val="11"/>
      <color rgb="FF1F1F1F"/>
      <name val="Arial"/>
      <family val="2"/>
    </font>
    <font>
      <sz val="11"/>
      <color rgb="FF0070C0"/>
      <name val="Arial"/>
      <family val="2"/>
    </font>
    <font>
      <sz val="11"/>
      <color theme="0" tint="-0.34998626667073579"/>
      <name val="Arial"/>
      <family val="2"/>
    </font>
    <font>
      <sz val="16"/>
      <color theme="0"/>
      <name val="Copperplate Gothic Bold"/>
      <family val="2"/>
    </font>
    <font>
      <b/>
      <sz val="11"/>
      <color rgb="FF1F1F1F"/>
      <name val="Arial"/>
      <family val="2"/>
    </font>
    <font>
      <sz val="20"/>
      <color theme="1"/>
      <name val="Arial"/>
      <family val="2"/>
    </font>
    <font>
      <b/>
      <i/>
      <sz val="11"/>
      <color theme="1"/>
      <name val="Arial"/>
      <family val="2"/>
    </font>
    <font>
      <b/>
      <sz val="20"/>
      <color theme="1"/>
      <name val="Arial"/>
      <family val="2"/>
    </font>
    <font>
      <u/>
      <sz val="22"/>
      <color theme="0"/>
      <name val="Arial Rounded MT Bold"/>
      <family val="2"/>
    </font>
    <font>
      <b/>
      <i/>
      <sz val="11"/>
      <color theme="0"/>
      <name val="Arial"/>
      <family val="2"/>
    </font>
  </fonts>
  <fills count="9">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79998168889431442"/>
        <bgColor indexed="64"/>
      </patternFill>
    </fill>
  </fills>
  <borders count="28">
    <border>
      <left/>
      <right/>
      <top/>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top style="thin">
        <color theme="1"/>
      </top>
      <bottom style="thin">
        <color theme="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op>
      <bottom style="thin">
        <color theme="0"/>
      </bottom>
      <diagonal/>
    </border>
    <border>
      <left style="thin">
        <color theme="0" tint="-0.14999847407452621"/>
      </left>
      <right style="thin">
        <color theme="0" tint="-0.14999847407452621"/>
      </right>
      <top style="thin">
        <color theme="0"/>
      </top>
      <bottom/>
      <diagonal/>
    </border>
    <border>
      <left style="thin">
        <color theme="0" tint="-0.14999847407452621"/>
      </left>
      <right style="thin">
        <color theme="0" tint="-0.14999847407452621"/>
      </right>
      <top style="thin">
        <color theme="0"/>
      </top>
      <bottom style="thin">
        <color theme="0" tint="-0.14999847407452621"/>
      </bottom>
      <diagonal/>
    </border>
    <border>
      <left/>
      <right style="thin">
        <color theme="0" tint="-0.14999847407452621"/>
      </right>
      <top/>
      <bottom style="thin">
        <color theme="0"/>
      </bottom>
      <diagonal/>
    </border>
    <border>
      <left/>
      <right style="thin">
        <color theme="0" tint="-0.14999847407452621"/>
      </right>
      <top style="thin">
        <color theme="1"/>
      </top>
      <bottom style="thin">
        <color theme="1"/>
      </bottom>
      <diagonal/>
    </border>
    <border>
      <left style="thin">
        <color theme="0" tint="-0.14999847407452621"/>
      </left>
      <right style="thin">
        <color theme="0" tint="-0.14999847407452621"/>
      </right>
      <top/>
      <bottom style="thin">
        <color theme="0"/>
      </bottom>
      <diagonal/>
    </border>
    <border>
      <left/>
      <right style="thin">
        <color theme="0" tint="-0.14999847407452621"/>
      </right>
      <top style="thin">
        <color theme="0" tint="-0.14999847407452621"/>
      </top>
      <bottom style="thin">
        <color theme="1"/>
      </bottom>
      <diagonal/>
    </border>
    <border>
      <left/>
      <right style="thin">
        <color theme="0" tint="-0.14999847407452621"/>
      </right>
      <top style="thin">
        <color theme="1"/>
      </top>
      <bottom style="thin">
        <color theme="0" tint="-0.14999847407452621"/>
      </bottom>
      <diagonal/>
    </border>
    <border>
      <left style="thin">
        <color theme="0" tint="-0.14999847407452621"/>
      </left>
      <right style="thin">
        <color theme="0" tint="-0.14999847407452621"/>
      </right>
      <top style="thin">
        <color theme="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1"/>
      </bottom>
      <diagonal/>
    </border>
    <border>
      <left style="thin">
        <color theme="0" tint="-0.14999847407452621"/>
      </left>
      <right style="thin">
        <color theme="0" tint="-0.14999847407452621"/>
      </right>
      <top/>
      <bottom style="thin">
        <color theme="1"/>
      </bottom>
      <diagonal/>
    </border>
    <border>
      <left style="thin">
        <color theme="0" tint="-0.14999847407452621"/>
      </left>
      <right style="thin">
        <color theme="0" tint="-0.14999847407452621"/>
      </right>
      <top style="thin">
        <color theme="1"/>
      </top>
      <bottom style="thin">
        <color theme="1"/>
      </bottom>
      <diagonal/>
    </border>
    <border>
      <left style="thin">
        <color theme="0" tint="-0.14999847407452621"/>
      </left>
      <right/>
      <top style="thin">
        <color theme="0" tint="-0.14999847407452621"/>
      </top>
      <bottom/>
      <diagonal/>
    </border>
  </borders>
  <cellStyleXfs count="1">
    <xf numFmtId="0" fontId="0" fillId="0" borderId="0"/>
  </cellStyleXfs>
  <cellXfs count="114">
    <xf numFmtId="0" fontId="0" fillId="0" borderId="0" xfId="0"/>
    <xf numFmtId="164" fontId="1" fillId="3" borderId="0" xfId="0" applyNumberFormat="1" applyFont="1" applyFill="1"/>
    <xf numFmtId="164" fontId="1" fillId="2" borderId="0" xfId="0" applyNumberFormat="1" applyFont="1" applyFill="1"/>
    <xf numFmtId="164" fontId="1" fillId="5" borderId="0" xfId="0" applyNumberFormat="1" applyFont="1" applyFill="1"/>
    <xf numFmtId="17" fontId="2" fillId="3" borderId="0" xfId="0" applyNumberFormat="1" applyFont="1" applyFill="1" applyAlignment="1">
      <alignment horizontal="right"/>
    </xf>
    <xf numFmtId="164" fontId="2" fillId="4" borderId="0" xfId="0" applyNumberFormat="1" applyFont="1" applyFill="1"/>
    <xf numFmtId="164" fontId="2" fillId="4" borderId="0" xfId="0" applyNumberFormat="1" applyFont="1" applyFill="1" applyAlignment="1">
      <alignment horizontal="right"/>
    </xf>
    <xf numFmtId="164" fontId="3" fillId="5" borderId="0" xfId="0" applyNumberFormat="1" applyFont="1" applyFill="1"/>
    <xf numFmtId="164" fontId="1" fillId="2" borderId="1" xfId="0" applyNumberFormat="1" applyFont="1" applyFill="1" applyBorder="1"/>
    <xf numFmtId="164" fontId="1" fillId="2" borderId="1" xfId="0" applyNumberFormat="1" applyFont="1" applyFill="1" applyBorder="1" applyAlignment="1">
      <alignment horizontal="left" indent="1"/>
    </xf>
    <xf numFmtId="164" fontId="3" fillId="2" borderId="1" xfId="0" applyNumberFormat="1" applyFont="1" applyFill="1" applyBorder="1"/>
    <xf numFmtId="164" fontId="1" fillId="2" borderId="2" xfId="0" applyNumberFormat="1" applyFont="1" applyFill="1" applyBorder="1"/>
    <xf numFmtId="164" fontId="1" fillId="2" borderId="4" xfId="0" applyNumberFormat="1" applyFont="1" applyFill="1" applyBorder="1" applyAlignment="1">
      <alignment horizontal="left" indent="1"/>
    </xf>
    <xf numFmtId="164" fontId="1" fillId="2" borderId="5" xfId="0" applyNumberFormat="1" applyFont="1" applyFill="1" applyBorder="1"/>
    <xf numFmtId="164" fontId="3" fillId="2" borderId="6" xfId="0" applyNumberFormat="1" applyFont="1" applyFill="1" applyBorder="1"/>
    <xf numFmtId="164" fontId="1" fillId="2" borderId="7" xfId="0" applyNumberFormat="1" applyFont="1" applyFill="1" applyBorder="1"/>
    <xf numFmtId="164" fontId="1" fillId="2" borderId="8" xfId="0" applyNumberFormat="1" applyFont="1" applyFill="1" applyBorder="1"/>
    <xf numFmtId="164" fontId="1" fillId="2" borderId="9" xfId="0" applyNumberFormat="1" applyFont="1" applyFill="1" applyBorder="1"/>
    <xf numFmtId="164" fontId="1" fillId="2" borderId="10" xfId="0" applyNumberFormat="1" applyFont="1" applyFill="1" applyBorder="1"/>
    <xf numFmtId="164" fontId="2" fillId="4" borderId="0" xfId="0" applyNumberFormat="1" applyFont="1" applyFill="1" applyAlignment="1">
      <alignment horizontal="center"/>
    </xf>
    <xf numFmtId="164" fontId="1" fillId="2" borderId="6" xfId="0" applyNumberFormat="1" applyFont="1" applyFill="1" applyBorder="1"/>
    <xf numFmtId="164" fontId="3" fillId="2" borderId="0" xfId="0" applyNumberFormat="1" applyFont="1" applyFill="1"/>
    <xf numFmtId="164" fontId="3" fillId="2" borderId="11" xfId="0" applyNumberFormat="1" applyFont="1" applyFill="1" applyBorder="1"/>
    <xf numFmtId="164" fontId="1" fillId="2" borderId="0" xfId="0" applyNumberFormat="1" applyFont="1" applyFill="1" applyAlignment="1">
      <alignment horizontal="left" indent="1"/>
    </xf>
    <xf numFmtId="164" fontId="1" fillId="2" borderId="3" xfId="0" applyNumberFormat="1" applyFont="1" applyFill="1" applyBorder="1" applyAlignment="1">
      <alignment horizontal="left" indent="1"/>
    </xf>
    <xf numFmtId="164" fontId="1" fillId="2" borderId="12" xfId="0" applyNumberFormat="1" applyFont="1" applyFill="1" applyBorder="1"/>
    <xf numFmtId="164" fontId="1" fillId="2" borderId="11" xfId="0" applyNumberFormat="1" applyFont="1" applyFill="1" applyBorder="1"/>
    <xf numFmtId="164" fontId="1" fillId="2" borderId="4" xfId="0" applyNumberFormat="1" applyFont="1" applyFill="1" applyBorder="1"/>
    <xf numFmtId="164" fontId="3" fillId="6" borderId="13" xfId="0" applyNumberFormat="1" applyFont="1" applyFill="1" applyBorder="1"/>
    <xf numFmtId="164" fontId="1" fillId="2" borderId="2" xfId="0" applyNumberFormat="1" applyFont="1" applyFill="1" applyBorder="1" applyAlignment="1">
      <alignment horizontal="center"/>
    </xf>
    <xf numFmtId="164" fontId="1" fillId="2" borderId="7" xfId="0" applyNumberFormat="1" applyFont="1" applyFill="1" applyBorder="1" applyAlignment="1">
      <alignment horizontal="center"/>
    </xf>
    <xf numFmtId="164" fontId="1" fillId="2" borderId="5" xfId="0" applyNumberFormat="1" applyFont="1" applyFill="1" applyBorder="1" applyAlignment="1">
      <alignment horizontal="center"/>
    </xf>
    <xf numFmtId="0" fontId="5" fillId="0" borderId="0" xfId="0" applyFont="1" applyAlignment="1">
      <alignment horizontal="center"/>
    </xf>
    <xf numFmtId="0" fontId="5" fillId="0" borderId="7" xfId="0" applyFont="1" applyBorder="1" applyAlignment="1">
      <alignment horizontal="center"/>
    </xf>
    <xf numFmtId="165" fontId="1" fillId="2" borderId="5" xfId="0" applyNumberFormat="1" applyFont="1" applyFill="1" applyBorder="1"/>
    <xf numFmtId="165" fontId="1" fillId="2" borderId="9" xfId="0" applyNumberFormat="1" applyFont="1" applyFill="1" applyBorder="1"/>
    <xf numFmtId="165" fontId="6" fillId="2" borderId="2" xfId="0" applyNumberFormat="1" applyFont="1" applyFill="1" applyBorder="1"/>
    <xf numFmtId="165" fontId="6" fillId="2" borderId="0" xfId="0" applyNumberFormat="1" applyFont="1" applyFill="1"/>
    <xf numFmtId="165" fontId="6" fillId="2" borderId="5" xfId="0" applyNumberFormat="1" applyFont="1" applyFill="1" applyBorder="1"/>
    <xf numFmtId="165" fontId="6" fillId="2" borderId="3" xfId="0" applyNumberFormat="1" applyFont="1" applyFill="1" applyBorder="1"/>
    <xf numFmtId="165" fontId="6" fillId="2" borderId="8" xfId="0" applyNumberFormat="1" applyFont="1" applyFill="1" applyBorder="1"/>
    <xf numFmtId="165" fontId="6" fillId="2" borderId="9" xfId="0" applyNumberFormat="1" applyFont="1" applyFill="1" applyBorder="1"/>
    <xf numFmtId="164" fontId="6" fillId="2" borderId="2" xfId="0" applyNumberFormat="1" applyFont="1" applyFill="1" applyBorder="1"/>
    <xf numFmtId="164" fontId="6" fillId="2" borderId="5" xfId="0" applyNumberFormat="1" applyFont="1" applyFill="1" applyBorder="1"/>
    <xf numFmtId="0" fontId="5" fillId="0" borderId="2" xfId="0" applyFont="1" applyBorder="1" applyAlignment="1">
      <alignment horizontal="center"/>
    </xf>
    <xf numFmtId="164" fontId="3" fillId="2" borderId="12" xfId="0" applyNumberFormat="1" applyFont="1" applyFill="1" applyBorder="1"/>
    <xf numFmtId="164" fontId="1" fillId="2" borderId="14" xfId="0" applyNumberFormat="1" applyFont="1" applyFill="1" applyBorder="1"/>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166" fontId="6" fillId="2" borderId="1" xfId="0" applyNumberFormat="1" applyFont="1" applyFill="1" applyBorder="1"/>
    <xf numFmtId="166" fontId="6" fillId="2" borderId="2" xfId="0" applyNumberFormat="1" applyFont="1" applyFill="1" applyBorder="1"/>
    <xf numFmtId="166" fontId="6" fillId="2" borderId="8" xfId="0" applyNumberFormat="1" applyFont="1" applyFill="1" applyBorder="1"/>
    <xf numFmtId="166" fontId="6" fillId="2" borderId="4" xfId="0" applyNumberFormat="1" applyFont="1" applyFill="1" applyBorder="1"/>
    <xf numFmtId="166" fontId="6" fillId="2" borderId="5" xfId="0" applyNumberFormat="1" applyFont="1" applyFill="1" applyBorder="1"/>
    <xf numFmtId="166" fontId="6" fillId="2" borderId="9" xfId="0" applyNumberFormat="1" applyFont="1" applyFill="1" applyBorder="1"/>
    <xf numFmtId="0" fontId="5" fillId="0" borderId="18" xfId="0" applyFont="1" applyBorder="1" applyAlignment="1">
      <alignment horizontal="center"/>
    </xf>
    <xf numFmtId="0" fontId="5" fillId="0" borderId="1" xfId="0" applyFont="1" applyBorder="1" applyAlignment="1">
      <alignment horizontal="center"/>
    </xf>
    <xf numFmtId="164" fontId="7" fillId="2" borderId="4" xfId="0" applyNumberFormat="1" applyFont="1" applyFill="1" applyBorder="1"/>
    <xf numFmtId="0" fontId="5" fillId="0" borderId="14" xfId="0" applyFont="1" applyBorder="1" applyAlignment="1">
      <alignment horizontal="center"/>
    </xf>
    <xf numFmtId="0" fontId="5" fillId="0" borderId="20" xfId="0" applyFont="1" applyBorder="1" applyAlignment="1">
      <alignment horizontal="center"/>
    </xf>
    <xf numFmtId="164" fontId="1" fillId="2" borderId="21" xfId="0" applyNumberFormat="1" applyFont="1" applyFill="1" applyBorder="1"/>
    <xf numFmtId="164" fontId="1" fillId="2" borderId="22" xfId="0" applyNumberFormat="1" applyFont="1" applyFill="1" applyBorder="1"/>
    <xf numFmtId="164" fontId="1" fillId="2" borderId="23" xfId="0" applyNumberFormat="1" applyFont="1" applyFill="1" applyBorder="1"/>
    <xf numFmtId="164" fontId="1" fillId="2" borderId="25" xfId="0" applyNumberFormat="1" applyFont="1" applyFill="1" applyBorder="1"/>
    <xf numFmtId="164" fontId="1" fillId="2" borderId="24" xfId="0" applyNumberFormat="1" applyFont="1" applyFill="1" applyBorder="1"/>
    <xf numFmtId="164" fontId="1" fillId="2" borderId="7" xfId="0" applyNumberFormat="1" applyFont="1" applyFill="1" applyBorder="1" applyAlignment="1">
      <alignment horizontal="right"/>
    </xf>
    <xf numFmtId="164" fontId="1" fillId="2" borderId="10" xfId="0" applyNumberFormat="1" applyFont="1" applyFill="1" applyBorder="1" applyAlignment="1">
      <alignment horizontal="right"/>
    </xf>
    <xf numFmtId="164" fontId="6" fillId="2" borderId="9" xfId="0" applyNumberFormat="1" applyFont="1" applyFill="1" applyBorder="1"/>
    <xf numFmtId="164" fontId="3" fillId="2" borderId="14" xfId="0" applyNumberFormat="1" applyFont="1" applyFill="1" applyBorder="1"/>
    <xf numFmtId="164" fontId="3" fillId="2" borderId="27" xfId="0" applyNumberFormat="1" applyFont="1" applyFill="1" applyBorder="1"/>
    <xf numFmtId="164" fontId="3" fillId="2" borderId="7" xfId="0" applyNumberFormat="1" applyFont="1" applyFill="1" applyBorder="1"/>
    <xf numFmtId="164" fontId="3" fillId="2" borderId="10" xfId="0" applyNumberFormat="1" applyFont="1" applyFill="1" applyBorder="1"/>
    <xf numFmtId="165" fontId="7" fillId="2" borderId="5" xfId="0" applyNumberFormat="1" applyFont="1" applyFill="1" applyBorder="1"/>
    <xf numFmtId="165" fontId="7" fillId="2" borderId="9" xfId="0" applyNumberFormat="1" applyFont="1" applyFill="1" applyBorder="1"/>
    <xf numFmtId="164" fontId="3" fillId="7" borderId="13" xfId="0" applyNumberFormat="1" applyFont="1" applyFill="1" applyBorder="1"/>
    <xf numFmtId="0" fontId="9" fillId="7" borderId="19" xfId="0" applyFont="1" applyFill="1" applyBorder="1" applyAlignment="1">
      <alignment horizontal="center"/>
    </xf>
    <xf numFmtId="164" fontId="3" fillId="8" borderId="13" xfId="0" applyNumberFormat="1" applyFont="1" applyFill="1" applyBorder="1"/>
    <xf numFmtId="0" fontId="9" fillId="8" borderId="26" xfId="0" applyFont="1" applyFill="1" applyBorder="1" applyAlignment="1">
      <alignment horizontal="center"/>
    </xf>
    <xf numFmtId="165" fontId="3" fillId="6" borderId="13" xfId="0" applyNumberFormat="1" applyFont="1" applyFill="1" applyBorder="1"/>
    <xf numFmtId="10" fontId="1" fillId="6" borderId="13" xfId="0" applyNumberFormat="1" applyFont="1" applyFill="1" applyBorder="1" applyAlignment="1">
      <alignment horizontal="center"/>
    </xf>
    <xf numFmtId="164" fontId="1" fillId="6" borderId="13" xfId="0" applyNumberFormat="1" applyFont="1" applyFill="1" applyBorder="1" applyAlignment="1">
      <alignment horizontal="center"/>
    </xf>
    <xf numFmtId="165" fontId="3" fillId="2" borderId="7" xfId="0" applyNumberFormat="1" applyFont="1" applyFill="1" applyBorder="1"/>
    <xf numFmtId="165" fontId="3" fillId="2" borderId="10" xfId="0" applyNumberFormat="1" applyFont="1" applyFill="1" applyBorder="1"/>
    <xf numFmtId="166" fontId="3" fillId="2" borderId="7" xfId="0" applyNumberFormat="1" applyFont="1" applyFill="1" applyBorder="1"/>
    <xf numFmtId="166" fontId="3" fillId="2" borderId="10" xfId="0" applyNumberFormat="1" applyFont="1" applyFill="1" applyBorder="1"/>
    <xf numFmtId="164" fontId="1" fillId="7" borderId="0" xfId="0" applyNumberFormat="1" applyFont="1" applyFill="1"/>
    <xf numFmtId="164" fontId="10" fillId="7" borderId="0" xfId="0" applyNumberFormat="1" applyFont="1" applyFill="1" applyAlignment="1">
      <alignment vertical="center"/>
    </xf>
    <xf numFmtId="164" fontId="1" fillId="6" borderId="1" xfId="0" applyNumberFormat="1" applyFont="1" applyFill="1" applyBorder="1"/>
    <xf numFmtId="164" fontId="1" fillId="6" borderId="0" xfId="0" applyNumberFormat="1" applyFont="1" applyFill="1"/>
    <xf numFmtId="0" fontId="0" fillId="2" borderId="0" xfId="0" applyFill="1"/>
    <xf numFmtId="164" fontId="1" fillId="6" borderId="1" xfId="0" applyNumberFormat="1" applyFont="1" applyFill="1" applyBorder="1" applyAlignment="1">
      <alignment wrapText="1"/>
    </xf>
    <xf numFmtId="164" fontId="3" fillId="6" borderId="1" xfId="0" applyNumberFormat="1" applyFont="1" applyFill="1" applyBorder="1" applyAlignment="1">
      <alignment horizontal="center"/>
    </xf>
    <xf numFmtId="164" fontId="3" fillId="6" borderId="1" xfId="0" applyNumberFormat="1" applyFont="1" applyFill="1" applyBorder="1" applyAlignment="1">
      <alignment horizontal="center" wrapText="1"/>
    </xf>
    <xf numFmtId="164" fontId="1" fillId="6" borderId="0" xfId="0" applyNumberFormat="1" applyFont="1" applyFill="1" applyAlignment="1">
      <alignment vertical="center"/>
    </xf>
    <xf numFmtId="164" fontId="1" fillId="7" borderId="1" xfId="0" applyNumberFormat="1" applyFont="1" applyFill="1" applyBorder="1"/>
    <xf numFmtId="164" fontId="12" fillId="7" borderId="0" xfId="0" applyNumberFormat="1" applyFont="1" applyFill="1" applyAlignment="1">
      <alignment horizontal="center" vertical="center"/>
    </xf>
    <xf numFmtId="164" fontId="3" fillId="6" borderId="0" xfId="0" applyNumberFormat="1" applyFont="1" applyFill="1" applyAlignment="1">
      <alignment horizontal="center"/>
    </xf>
    <xf numFmtId="164" fontId="8" fillId="3" borderId="0" xfId="0" applyNumberFormat="1" applyFont="1" applyFill="1" applyAlignment="1">
      <alignment horizontal="left" vertical="center" wrapText="1"/>
    </xf>
    <xf numFmtId="164" fontId="13" fillId="3" borderId="0" xfId="0" applyNumberFormat="1" applyFont="1" applyFill="1" applyAlignment="1">
      <alignment horizontal="center" vertical="center"/>
    </xf>
    <xf numFmtId="164" fontId="4" fillId="5" borderId="0" xfId="0" applyNumberFormat="1" applyFont="1" applyFill="1" applyAlignment="1">
      <alignment horizontal="center"/>
    </xf>
    <xf numFmtId="164" fontId="1" fillId="6" borderId="1" xfId="0" applyNumberFormat="1" applyFont="1" applyFill="1" applyBorder="1" applyAlignment="1">
      <alignment horizontal="center" wrapText="1"/>
    </xf>
    <xf numFmtId="164" fontId="1" fillId="6" borderId="1" xfId="0" applyNumberFormat="1" applyFont="1" applyFill="1" applyBorder="1" applyAlignment="1">
      <alignment horizontal="center" vertical="center"/>
    </xf>
    <xf numFmtId="164" fontId="14" fillId="3" borderId="0" xfId="0" applyNumberFormat="1" applyFont="1" applyFill="1" applyAlignment="1">
      <alignment horizontal="center"/>
    </xf>
    <xf numFmtId="164" fontId="1" fillId="6" borderId="0" xfId="0" applyNumberFormat="1" applyFont="1" applyFill="1" applyAlignment="1">
      <alignment horizontal="center" vertical="center" wrapText="1"/>
    </xf>
    <xf numFmtId="164" fontId="1" fillId="6" borderId="0" xfId="0" applyNumberFormat="1" applyFont="1" applyFill="1" applyAlignment="1">
      <alignment horizontal="center" vertical="center"/>
    </xf>
    <xf numFmtId="164" fontId="11" fillId="7" borderId="0" xfId="0" applyNumberFormat="1" applyFont="1" applyFill="1" applyAlignment="1">
      <alignment horizontal="center"/>
    </xf>
    <xf numFmtId="164" fontId="11" fillId="7" borderId="0" xfId="0" applyNumberFormat="1" applyFont="1" applyFill="1" applyAlignment="1">
      <alignment horizontal="center" vertical="center" wrapText="1"/>
    </xf>
    <xf numFmtId="164" fontId="1" fillId="6" borderId="1" xfId="0" applyNumberFormat="1" applyFont="1" applyFill="1" applyBorder="1" applyAlignment="1">
      <alignment horizontal="center" vertical="center" wrapText="1"/>
    </xf>
    <xf numFmtId="164" fontId="1" fillId="5" borderId="0" xfId="0" applyNumberFormat="1" applyFont="1" applyFill="1" applyAlignment="1">
      <alignment horizontal="center"/>
    </xf>
    <xf numFmtId="0" fontId="0" fillId="2" borderId="0" xfId="0" applyFill="1" applyAlignment="1">
      <alignment horizontal="justify" vertical="top" wrapText="1"/>
    </xf>
    <xf numFmtId="0" fontId="0" fillId="2" borderId="0" xfId="0" applyFill="1" applyAlignment="1">
      <alignment horizontal="justify" vertical="top"/>
    </xf>
    <xf numFmtId="0" fontId="0" fillId="2" borderId="0" xfId="0" applyFill="1" applyAlignment="1">
      <alignment horizontal="justify" wrapText="1"/>
    </xf>
    <xf numFmtId="0" fontId="0" fillId="2" borderId="0" xfId="0" applyFill="1" applyAlignment="1">
      <alignment horizontal="justify"/>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75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ASSUMPTIONS'!$D$9:$AA$9</c:f>
              <c:numCache>
                <c:formatCode>#,##0_);\(#,##0\);"--"</c:formatCode>
                <c:ptCount val="24"/>
                <c:pt idx="0">
                  <c:v>20000</c:v>
                </c:pt>
                <c:pt idx="1">
                  <c:v>20500</c:v>
                </c:pt>
                <c:pt idx="2">
                  <c:v>21000</c:v>
                </c:pt>
                <c:pt idx="3">
                  <c:v>21500</c:v>
                </c:pt>
                <c:pt idx="4">
                  <c:v>22000</c:v>
                </c:pt>
                <c:pt idx="5">
                  <c:v>22500</c:v>
                </c:pt>
                <c:pt idx="6">
                  <c:v>23000</c:v>
                </c:pt>
                <c:pt idx="7">
                  <c:v>23500</c:v>
                </c:pt>
                <c:pt idx="8">
                  <c:v>24000</c:v>
                </c:pt>
                <c:pt idx="9">
                  <c:v>24500</c:v>
                </c:pt>
                <c:pt idx="10">
                  <c:v>25000</c:v>
                </c:pt>
                <c:pt idx="11">
                  <c:v>25500</c:v>
                </c:pt>
                <c:pt idx="12">
                  <c:v>26000</c:v>
                </c:pt>
                <c:pt idx="13">
                  <c:v>26500</c:v>
                </c:pt>
                <c:pt idx="14">
                  <c:v>27000</c:v>
                </c:pt>
                <c:pt idx="15">
                  <c:v>27500</c:v>
                </c:pt>
                <c:pt idx="16">
                  <c:v>28000</c:v>
                </c:pt>
                <c:pt idx="17">
                  <c:v>28500</c:v>
                </c:pt>
                <c:pt idx="18">
                  <c:v>29000</c:v>
                </c:pt>
                <c:pt idx="19">
                  <c:v>29500</c:v>
                </c:pt>
                <c:pt idx="20">
                  <c:v>30000</c:v>
                </c:pt>
                <c:pt idx="21">
                  <c:v>30500</c:v>
                </c:pt>
                <c:pt idx="22">
                  <c:v>31000</c:v>
                </c:pt>
                <c:pt idx="23">
                  <c:v>31500</c:v>
                </c:pt>
              </c:numCache>
            </c:numRef>
          </c:val>
          <c:extLst>
            <c:ext xmlns:c16="http://schemas.microsoft.com/office/drawing/2014/chart" uri="{C3380CC4-5D6E-409C-BE32-E72D297353CC}">
              <c16:uniqueId val="{00000000-319E-4394-9E88-5C7A8BE1C0A0}"/>
            </c:ext>
          </c:extLst>
        </c:ser>
        <c:ser>
          <c:idx val="1"/>
          <c:order val="1"/>
          <c:tx>
            <c:v>Paid</c:v>
          </c:tx>
          <c:spPr>
            <a:solidFill>
              <a:srgbClr val="FF0000"/>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ASSUMPTIONS'!$D$10:$AA$10</c:f>
              <c:numCache>
                <c:formatCode>#,##0_);\(#,##0\);"--"</c:formatCode>
                <c:ptCount val="24"/>
                <c:pt idx="0">
                  <c:v>5000</c:v>
                </c:pt>
                <c:pt idx="1">
                  <c:v>5100</c:v>
                </c:pt>
                <c:pt idx="2">
                  <c:v>5200</c:v>
                </c:pt>
                <c:pt idx="3">
                  <c:v>5300</c:v>
                </c:pt>
                <c:pt idx="4">
                  <c:v>5400</c:v>
                </c:pt>
                <c:pt idx="5">
                  <c:v>5500</c:v>
                </c:pt>
                <c:pt idx="6">
                  <c:v>5600</c:v>
                </c:pt>
                <c:pt idx="7">
                  <c:v>5700</c:v>
                </c:pt>
                <c:pt idx="8">
                  <c:v>5800</c:v>
                </c:pt>
                <c:pt idx="9">
                  <c:v>5900</c:v>
                </c:pt>
                <c:pt idx="10">
                  <c:v>6000</c:v>
                </c:pt>
                <c:pt idx="11">
                  <c:v>6100</c:v>
                </c:pt>
                <c:pt idx="12">
                  <c:v>6200</c:v>
                </c:pt>
                <c:pt idx="13">
                  <c:v>6300</c:v>
                </c:pt>
                <c:pt idx="14">
                  <c:v>6400</c:v>
                </c:pt>
                <c:pt idx="15">
                  <c:v>6500</c:v>
                </c:pt>
                <c:pt idx="16">
                  <c:v>6600</c:v>
                </c:pt>
                <c:pt idx="17">
                  <c:v>6700</c:v>
                </c:pt>
                <c:pt idx="18">
                  <c:v>6800</c:v>
                </c:pt>
                <c:pt idx="19">
                  <c:v>6900</c:v>
                </c:pt>
                <c:pt idx="20">
                  <c:v>7000</c:v>
                </c:pt>
                <c:pt idx="21">
                  <c:v>7100</c:v>
                </c:pt>
                <c:pt idx="22">
                  <c:v>7200</c:v>
                </c:pt>
                <c:pt idx="23">
                  <c:v>7300</c:v>
                </c:pt>
              </c:numCache>
            </c:numRef>
          </c:val>
          <c:extLst>
            <c:ext xmlns:c16="http://schemas.microsoft.com/office/drawing/2014/chart" uri="{C3380CC4-5D6E-409C-BE32-E72D297353CC}">
              <c16:uniqueId val="{00000001-319E-4394-9E88-5C7A8BE1C0A0}"/>
            </c:ext>
          </c:extLst>
        </c:ser>
        <c:dLbls>
          <c:showLegendKey val="0"/>
          <c:showVal val="0"/>
          <c:showCatName val="0"/>
          <c:showSerName val="0"/>
          <c:showPercent val="0"/>
          <c:showBubbleSize val="0"/>
        </c:dLbls>
        <c:gapWidth val="1"/>
        <c:overlap val="-27"/>
        <c:axId val="1335345584"/>
        <c:axId val="1335357008"/>
      </c:barChart>
      <c:catAx>
        <c:axId val="133534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7008"/>
        <c:crosses val="autoZero"/>
        <c:auto val="1"/>
        <c:lblAlgn val="ctr"/>
        <c:lblOffset val="100"/>
        <c:noMultiLvlLbl val="0"/>
      </c:catAx>
      <c:valAx>
        <c:axId val="1335357008"/>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75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ASSUMPTIONS'!$D$33:$AA$33</c:f>
              <c:numCache>
                <c:formatCode>#,##0_);\(#,##0\);"--"</c:formatCode>
                <c:ptCount val="24"/>
                <c:pt idx="0">
                  <c:v>20000</c:v>
                </c:pt>
                <c:pt idx="1">
                  <c:v>20400</c:v>
                </c:pt>
                <c:pt idx="2">
                  <c:v>20800</c:v>
                </c:pt>
                <c:pt idx="3">
                  <c:v>21200</c:v>
                </c:pt>
                <c:pt idx="4">
                  <c:v>21600</c:v>
                </c:pt>
                <c:pt idx="5">
                  <c:v>22000</c:v>
                </c:pt>
                <c:pt idx="6">
                  <c:v>22400</c:v>
                </c:pt>
                <c:pt idx="7">
                  <c:v>22800</c:v>
                </c:pt>
                <c:pt idx="8">
                  <c:v>23200</c:v>
                </c:pt>
                <c:pt idx="9">
                  <c:v>23600</c:v>
                </c:pt>
                <c:pt idx="10">
                  <c:v>24000</c:v>
                </c:pt>
                <c:pt idx="11">
                  <c:v>24400</c:v>
                </c:pt>
                <c:pt idx="12">
                  <c:v>24800</c:v>
                </c:pt>
                <c:pt idx="13">
                  <c:v>25200</c:v>
                </c:pt>
                <c:pt idx="14">
                  <c:v>25600</c:v>
                </c:pt>
                <c:pt idx="15">
                  <c:v>26000</c:v>
                </c:pt>
                <c:pt idx="16">
                  <c:v>26400</c:v>
                </c:pt>
                <c:pt idx="17">
                  <c:v>26800</c:v>
                </c:pt>
                <c:pt idx="18">
                  <c:v>27200</c:v>
                </c:pt>
                <c:pt idx="19">
                  <c:v>27600</c:v>
                </c:pt>
                <c:pt idx="20">
                  <c:v>28000</c:v>
                </c:pt>
                <c:pt idx="21">
                  <c:v>28400</c:v>
                </c:pt>
                <c:pt idx="22">
                  <c:v>28800</c:v>
                </c:pt>
                <c:pt idx="23">
                  <c:v>29200</c:v>
                </c:pt>
              </c:numCache>
            </c:numRef>
          </c:val>
          <c:extLst>
            <c:ext xmlns:c16="http://schemas.microsoft.com/office/drawing/2014/chart" uri="{C3380CC4-5D6E-409C-BE32-E72D297353CC}">
              <c16:uniqueId val="{00000000-EC5A-4CE6-8B51-1AD28028FA33}"/>
            </c:ext>
          </c:extLst>
        </c:ser>
        <c:ser>
          <c:idx val="1"/>
          <c:order val="1"/>
          <c:tx>
            <c:v>Paid</c:v>
          </c:tx>
          <c:spPr>
            <a:solidFill>
              <a:srgbClr val="FF0000"/>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ASSUMPTIONS'!$D$34:$AA$34</c:f>
              <c:numCache>
                <c:formatCode>#,##0_);\(#,##0\);"--"</c:formatCode>
                <c:ptCount val="24"/>
                <c:pt idx="0">
                  <c:v>5000</c:v>
                </c:pt>
                <c:pt idx="1">
                  <c:v>5200</c:v>
                </c:pt>
                <c:pt idx="2">
                  <c:v>5400</c:v>
                </c:pt>
                <c:pt idx="3">
                  <c:v>5600</c:v>
                </c:pt>
                <c:pt idx="4">
                  <c:v>5800</c:v>
                </c:pt>
                <c:pt idx="5">
                  <c:v>6000</c:v>
                </c:pt>
                <c:pt idx="6">
                  <c:v>6200</c:v>
                </c:pt>
                <c:pt idx="7">
                  <c:v>6400</c:v>
                </c:pt>
                <c:pt idx="8">
                  <c:v>6600</c:v>
                </c:pt>
                <c:pt idx="9">
                  <c:v>6800</c:v>
                </c:pt>
                <c:pt idx="10">
                  <c:v>7000</c:v>
                </c:pt>
                <c:pt idx="11">
                  <c:v>7200</c:v>
                </c:pt>
                <c:pt idx="12">
                  <c:v>7400</c:v>
                </c:pt>
                <c:pt idx="13">
                  <c:v>7600</c:v>
                </c:pt>
                <c:pt idx="14">
                  <c:v>7800</c:v>
                </c:pt>
                <c:pt idx="15">
                  <c:v>8000</c:v>
                </c:pt>
                <c:pt idx="16">
                  <c:v>8200</c:v>
                </c:pt>
                <c:pt idx="17">
                  <c:v>8400</c:v>
                </c:pt>
                <c:pt idx="18">
                  <c:v>8600</c:v>
                </c:pt>
                <c:pt idx="19">
                  <c:v>8800</c:v>
                </c:pt>
                <c:pt idx="20">
                  <c:v>9000</c:v>
                </c:pt>
                <c:pt idx="21">
                  <c:v>9200</c:v>
                </c:pt>
                <c:pt idx="22">
                  <c:v>9400</c:v>
                </c:pt>
                <c:pt idx="23">
                  <c:v>9600</c:v>
                </c:pt>
              </c:numCache>
            </c:numRef>
          </c:val>
          <c:extLst>
            <c:ext xmlns:c16="http://schemas.microsoft.com/office/drawing/2014/chart" uri="{C3380CC4-5D6E-409C-BE32-E72D297353CC}">
              <c16:uniqueId val="{00000001-EC5A-4CE6-8B51-1AD28028FA33}"/>
            </c:ext>
          </c:extLst>
        </c:ser>
        <c:dLbls>
          <c:showLegendKey val="0"/>
          <c:showVal val="0"/>
          <c:showCatName val="0"/>
          <c:showSerName val="0"/>
          <c:showPercent val="0"/>
          <c:showBubbleSize val="0"/>
        </c:dLbls>
        <c:gapWidth val="1"/>
        <c:overlap val="-27"/>
        <c:axId val="1335360272"/>
        <c:axId val="1335346128"/>
      </c:barChart>
      <c:catAx>
        <c:axId val="133536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6128"/>
        <c:crosses val="autoZero"/>
        <c:auto val="1"/>
        <c:lblAlgn val="ctr"/>
        <c:lblOffset val="100"/>
        <c:noMultiLvlLbl val="0"/>
      </c:catAx>
      <c:valAx>
        <c:axId val="1335346128"/>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60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75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ASSUMPTIONS'!$D$57:$AA$57</c:f>
              <c:numCache>
                <c:formatCode>#,##0_);\(#,##0\);"--"</c:formatCode>
                <c:ptCount val="24"/>
                <c:pt idx="0">
                  <c:v>20000</c:v>
                </c:pt>
                <c:pt idx="1">
                  <c:v>20300</c:v>
                </c:pt>
                <c:pt idx="2">
                  <c:v>20600</c:v>
                </c:pt>
                <c:pt idx="3">
                  <c:v>20900</c:v>
                </c:pt>
                <c:pt idx="4">
                  <c:v>21200</c:v>
                </c:pt>
                <c:pt idx="5">
                  <c:v>21500</c:v>
                </c:pt>
                <c:pt idx="6">
                  <c:v>21800</c:v>
                </c:pt>
                <c:pt idx="7">
                  <c:v>22100</c:v>
                </c:pt>
                <c:pt idx="8">
                  <c:v>22400</c:v>
                </c:pt>
                <c:pt idx="9">
                  <c:v>22700</c:v>
                </c:pt>
                <c:pt idx="10">
                  <c:v>23000</c:v>
                </c:pt>
                <c:pt idx="11">
                  <c:v>23300</c:v>
                </c:pt>
                <c:pt idx="12">
                  <c:v>23600</c:v>
                </c:pt>
                <c:pt idx="13">
                  <c:v>23900</c:v>
                </c:pt>
                <c:pt idx="14">
                  <c:v>24200</c:v>
                </c:pt>
                <c:pt idx="15">
                  <c:v>24500</c:v>
                </c:pt>
                <c:pt idx="16">
                  <c:v>24800</c:v>
                </c:pt>
                <c:pt idx="17">
                  <c:v>25100</c:v>
                </c:pt>
                <c:pt idx="18">
                  <c:v>25400</c:v>
                </c:pt>
                <c:pt idx="19">
                  <c:v>25700</c:v>
                </c:pt>
                <c:pt idx="20">
                  <c:v>26000</c:v>
                </c:pt>
                <c:pt idx="21">
                  <c:v>26300</c:v>
                </c:pt>
                <c:pt idx="22">
                  <c:v>26600</c:v>
                </c:pt>
                <c:pt idx="23">
                  <c:v>26900</c:v>
                </c:pt>
              </c:numCache>
            </c:numRef>
          </c:val>
          <c:extLst>
            <c:ext xmlns:c16="http://schemas.microsoft.com/office/drawing/2014/chart" uri="{C3380CC4-5D6E-409C-BE32-E72D297353CC}">
              <c16:uniqueId val="{00000000-72B0-4044-96AB-480438F2E5B8}"/>
            </c:ext>
          </c:extLst>
        </c:ser>
        <c:ser>
          <c:idx val="1"/>
          <c:order val="1"/>
          <c:tx>
            <c:v>Paid</c:v>
          </c:tx>
          <c:spPr>
            <a:solidFill>
              <a:srgbClr val="FF0000"/>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ASSUMPTIONS'!$D$58:$AA$58</c:f>
              <c:numCache>
                <c:formatCode>#,##0_);\(#,##0\);"--"</c:formatCode>
                <c:ptCount val="24"/>
                <c:pt idx="0">
                  <c:v>5000</c:v>
                </c:pt>
                <c:pt idx="1">
                  <c:v>5300</c:v>
                </c:pt>
                <c:pt idx="2">
                  <c:v>5600</c:v>
                </c:pt>
                <c:pt idx="3">
                  <c:v>5900</c:v>
                </c:pt>
                <c:pt idx="4">
                  <c:v>6200</c:v>
                </c:pt>
                <c:pt idx="5">
                  <c:v>6500</c:v>
                </c:pt>
                <c:pt idx="6">
                  <c:v>6800</c:v>
                </c:pt>
                <c:pt idx="7">
                  <c:v>7100</c:v>
                </c:pt>
                <c:pt idx="8">
                  <c:v>7400</c:v>
                </c:pt>
                <c:pt idx="9">
                  <c:v>7700</c:v>
                </c:pt>
                <c:pt idx="10">
                  <c:v>8000</c:v>
                </c:pt>
                <c:pt idx="11">
                  <c:v>8300</c:v>
                </c:pt>
                <c:pt idx="12">
                  <c:v>8600</c:v>
                </c:pt>
                <c:pt idx="13">
                  <c:v>8900</c:v>
                </c:pt>
                <c:pt idx="14">
                  <c:v>9200</c:v>
                </c:pt>
                <c:pt idx="15">
                  <c:v>9500</c:v>
                </c:pt>
                <c:pt idx="16">
                  <c:v>9800</c:v>
                </c:pt>
                <c:pt idx="17">
                  <c:v>10100</c:v>
                </c:pt>
                <c:pt idx="18">
                  <c:v>10400</c:v>
                </c:pt>
                <c:pt idx="19">
                  <c:v>10700</c:v>
                </c:pt>
                <c:pt idx="20">
                  <c:v>11000</c:v>
                </c:pt>
                <c:pt idx="21">
                  <c:v>11300</c:v>
                </c:pt>
                <c:pt idx="22">
                  <c:v>11600</c:v>
                </c:pt>
                <c:pt idx="23">
                  <c:v>11900</c:v>
                </c:pt>
              </c:numCache>
            </c:numRef>
          </c:val>
          <c:extLst>
            <c:ext xmlns:c16="http://schemas.microsoft.com/office/drawing/2014/chart" uri="{C3380CC4-5D6E-409C-BE32-E72D297353CC}">
              <c16:uniqueId val="{00000001-72B0-4044-96AB-480438F2E5B8}"/>
            </c:ext>
          </c:extLst>
        </c:ser>
        <c:dLbls>
          <c:showLegendKey val="0"/>
          <c:showVal val="0"/>
          <c:showCatName val="0"/>
          <c:showSerName val="0"/>
          <c:showPercent val="0"/>
          <c:showBubbleSize val="0"/>
        </c:dLbls>
        <c:gapWidth val="1"/>
        <c:overlap val="-27"/>
        <c:axId val="1335352112"/>
        <c:axId val="1335349392"/>
      </c:barChart>
      <c:catAx>
        <c:axId val="13353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9392"/>
        <c:crosses val="autoZero"/>
        <c:auto val="1"/>
        <c:lblAlgn val="ctr"/>
        <c:lblOffset val="100"/>
        <c:noMultiLvlLbl val="0"/>
      </c:catAx>
      <c:valAx>
        <c:axId val="1335349392"/>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2112"/>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ASSUMPTIONS'!$D$20:$AA$20</c:f>
              <c:numCache>
                <c:formatCode>#,##0_);\(#,##0\);"--"</c:formatCode>
                <c:ptCount val="24"/>
                <c:pt idx="0">
                  <c:v>600</c:v>
                </c:pt>
                <c:pt idx="1">
                  <c:v>635.5</c:v>
                </c:pt>
                <c:pt idx="2">
                  <c:v>651</c:v>
                </c:pt>
                <c:pt idx="3">
                  <c:v>666.5</c:v>
                </c:pt>
                <c:pt idx="4">
                  <c:v>704</c:v>
                </c:pt>
                <c:pt idx="5">
                  <c:v>720</c:v>
                </c:pt>
                <c:pt idx="6">
                  <c:v>736</c:v>
                </c:pt>
                <c:pt idx="7">
                  <c:v>775.5</c:v>
                </c:pt>
                <c:pt idx="8">
                  <c:v>792</c:v>
                </c:pt>
                <c:pt idx="9">
                  <c:v>808.5</c:v>
                </c:pt>
                <c:pt idx="10">
                  <c:v>850.00000000000011</c:v>
                </c:pt>
                <c:pt idx="11">
                  <c:v>867.00000000000011</c:v>
                </c:pt>
                <c:pt idx="12">
                  <c:v>884.00000000000011</c:v>
                </c:pt>
                <c:pt idx="13">
                  <c:v>927.50000000000011</c:v>
                </c:pt>
                <c:pt idx="14">
                  <c:v>945.00000000000011</c:v>
                </c:pt>
                <c:pt idx="15">
                  <c:v>962.50000000000011</c:v>
                </c:pt>
                <c:pt idx="16">
                  <c:v>1007.9999999999999</c:v>
                </c:pt>
                <c:pt idx="17">
                  <c:v>1026</c:v>
                </c:pt>
                <c:pt idx="18">
                  <c:v>1044</c:v>
                </c:pt>
                <c:pt idx="19">
                  <c:v>1091.5</c:v>
                </c:pt>
                <c:pt idx="20">
                  <c:v>1110</c:v>
                </c:pt>
                <c:pt idx="21">
                  <c:v>1128.5</c:v>
                </c:pt>
                <c:pt idx="22">
                  <c:v>1178</c:v>
                </c:pt>
                <c:pt idx="23">
                  <c:v>1197</c:v>
                </c:pt>
              </c:numCache>
            </c:numRef>
          </c:val>
          <c:extLst>
            <c:ext xmlns:c16="http://schemas.microsoft.com/office/drawing/2014/chart" uri="{C3380CC4-5D6E-409C-BE32-E72D297353CC}">
              <c16:uniqueId val="{00000000-E405-4898-B4B0-F4D8C3CB2064}"/>
            </c:ext>
          </c:extLst>
        </c:ser>
        <c:ser>
          <c:idx val="1"/>
          <c:order val="1"/>
          <c:tx>
            <c:v>Paid</c:v>
          </c:tx>
          <c:spPr>
            <a:solidFill>
              <a:schemeClr val="accent2">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ASSUMPTIONS'!$D$21:$AA$21</c:f>
              <c:numCache>
                <c:formatCode>#,##0_);\(#,##0\);"--"</c:formatCode>
                <c:ptCount val="24"/>
                <c:pt idx="0">
                  <c:v>100</c:v>
                </c:pt>
                <c:pt idx="1">
                  <c:v>107.10000000000001</c:v>
                </c:pt>
                <c:pt idx="2">
                  <c:v>109.2</c:v>
                </c:pt>
                <c:pt idx="3">
                  <c:v>111.30000000000001</c:v>
                </c:pt>
                <c:pt idx="4">
                  <c:v>118.8</c:v>
                </c:pt>
                <c:pt idx="5">
                  <c:v>121</c:v>
                </c:pt>
                <c:pt idx="6">
                  <c:v>123.19999999999999</c:v>
                </c:pt>
                <c:pt idx="7">
                  <c:v>131.1</c:v>
                </c:pt>
                <c:pt idx="8">
                  <c:v>133.4</c:v>
                </c:pt>
                <c:pt idx="9">
                  <c:v>135.69999999999999</c:v>
                </c:pt>
                <c:pt idx="10">
                  <c:v>144</c:v>
                </c:pt>
                <c:pt idx="11">
                  <c:v>146.4</c:v>
                </c:pt>
                <c:pt idx="12">
                  <c:v>148.80000000000001</c:v>
                </c:pt>
                <c:pt idx="13">
                  <c:v>157.5</c:v>
                </c:pt>
                <c:pt idx="14">
                  <c:v>160</c:v>
                </c:pt>
                <c:pt idx="15">
                  <c:v>162.5</c:v>
                </c:pt>
                <c:pt idx="16">
                  <c:v>171.6</c:v>
                </c:pt>
                <c:pt idx="17">
                  <c:v>174.2</c:v>
                </c:pt>
                <c:pt idx="18">
                  <c:v>176.79999999999998</c:v>
                </c:pt>
                <c:pt idx="19">
                  <c:v>186.3</c:v>
                </c:pt>
                <c:pt idx="20">
                  <c:v>189</c:v>
                </c:pt>
                <c:pt idx="21">
                  <c:v>191.7</c:v>
                </c:pt>
                <c:pt idx="22">
                  <c:v>201.6</c:v>
                </c:pt>
                <c:pt idx="23">
                  <c:v>204.4</c:v>
                </c:pt>
              </c:numCache>
            </c:numRef>
          </c:val>
          <c:extLst>
            <c:ext xmlns:c16="http://schemas.microsoft.com/office/drawing/2014/chart" uri="{C3380CC4-5D6E-409C-BE32-E72D297353CC}">
              <c16:uniqueId val="{00000001-E405-4898-B4B0-F4D8C3CB2064}"/>
            </c:ext>
          </c:extLst>
        </c:ser>
        <c:dLbls>
          <c:showLegendKey val="0"/>
          <c:showVal val="0"/>
          <c:showCatName val="0"/>
          <c:showSerName val="0"/>
          <c:showPercent val="0"/>
          <c:showBubbleSize val="0"/>
        </c:dLbls>
        <c:gapWidth val="1"/>
        <c:overlap val="-27"/>
        <c:axId val="1335352656"/>
        <c:axId val="1335360816"/>
      </c:barChart>
      <c:catAx>
        <c:axId val="133535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60816"/>
        <c:crosses val="autoZero"/>
        <c:auto val="1"/>
        <c:lblAlgn val="ctr"/>
        <c:lblOffset val="100"/>
        <c:noMultiLvlLbl val="0"/>
      </c:catAx>
      <c:valAx>
        <c:axId val="1335360816"/>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ASSUMPTIONS'!$D$44:$AA$44</c:f>
              <c:numCache>
                <c:formatCode>#,##0_);\(#,##0\);"--"</c:formatCode>
                <c:ptCount val="24"/>
                <c:pt idx="0">
                  <c:v>400</c:v>
                </c:pt>
                <c:pt idx="1">
                  <c:v>428.40000000000003</c:v>
                </c:pt>
                <c:pt idx="2">
                  <c:v>436.8</c:v>
                </c:pt>
                <c:pt idx="3">
                  <c:v>445.20000000000005</c:v>
                </c:pt>
                <c:pt idx="4">
                  <c:v>475.2</c:v>
                </c:pt>
                <c:pt idx="5">
                  <c:v>484</c:v>
                </c:pt>
                <c:pt idx="6">
                  <c:v>492.79999999999995</c:v>
                </c:pt>
                <c:pt idx="7">
                  <c:v>524.4</c:v>
                </c:pt>
                <c:pt idx="8">
                  <c:v>533.6</c:v>
                </c:pt>
                <c:pt idx="9">
                  <c:v>542.79999999999995</c:v>
                </c:pt>
                <c:pt idx="10">
                  <c:v>576</c:v>
                </c:pt>
                <c:pt idx="11">
                  <c:v>585.6</c:v>
                </c:pt>
                <c:pt idx="12">
                  <c:v>595.20000000000005</c:v>
                </c:pt>
                <c:pt idx="13">
                  <c:v>630</c:v>
                </c:pt>
                <c:pt idx="14">
                  <c:v>640</c:v>
                </c:pt>
                <c:pt idx="15">
                  <c:v>650</c:v>
                </c:pt>
                <c:pt idx="16">
                  <c:v>686.4</c:v>
                </c:pt>
                <c:pt idx="17">
                  <c:v>696.8</c:v>
                </c:pt>
                <c:pt idx="18">
                  <c:v>707.19999999999993</c:v>
                </c:pt>
                <c:pt idx="19">
                  <c:v>745.2</c:v>
                </c:pt>
                <c:pt idx="20">
                  <c:v>756</c:v>
                </c:pt>
                <c:pt idx="21">
                  <c:v>766.8</c:v>
                </c:pt>
                <c:pt idx="22">
                  <c:v>806.4</c:v>
                </c:pt>
                <c:pt idx="23">
                  <c:v>817.6</c:v>
                </c:pt>
              </c:numCache>
            </c:numRef>
          </c:val>
          <c:extLst>
            <c:ext xmlns:c16="http://schemas.microsoft.com/office/drawing/2014/chart" uri="{C3380CC4-5D6E-409C-BE32-E72D297353CC}">
              <c16:uniqueId val="{00000000-E87D-4025-AAFE-7662581D3D6B}"/>
            </c:ext>
          </c:extLst>
        </c:ser>
        <c:ser>
          <c:idx val="1"/>
          <c:order val="1"/>
          <c:tx>
            <c:v>Paid</c:v>
          </c:tx>
          <c:spPr>
            <a:solidFill>
              <a:schemeClr val="accent2">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ASSUMPTIONS'!$D$45:$AA$45</c:f>
              <c:numCache>
                <c:formatCode>#,##0_);\(#,##0\);"--"</c:formatCode>
                <c:ptCount val="24"/>
                <c:pt idx="0">
                  <c:v>50</c:v>
                </c:pt>
                <c:pt idx="1">
                  <c:v>57.199999999999996</c:v>
                </c:pt>
                <c:pt idx="2">
                  <c:v>59.4</c:v>
                </c:pt>
                <c:pt idx="3">
                  <c:v>61.599999999999994</c:v>
                </c:pt>
                <c:pt idx="4">
                  <c:v>69.600000000000009</c:v>
                </c:pt>
                <c:pt idx="5">
                  <c:v>72</c:v>
                </c:pt>
                <c:pt idx="6">
                  <c:v>74.400000000000006</c:v>
                </c:pt>
                <c:pt idx="7">
                  <c:v>83.2</c:v>
                </c:pt>
                <c:pt idx="8">
                  <c:v>85.8</c:v>
                </c:pt>
                <c:pt idx="9">
                  <c:v>88.399999999999991</c:v>
                </c:pt>
                <c:pt idx="10">
                  <c:v>98</c:v>
                </c:pt>
                <c:pt idx="11">
                  <c:v>100.8</c:v>
                </c:pt>
                <c:pt idx="12">
                  <c:v>103.60000000000001</c:v>
                </c:pt>
                <c:pt idx="13">
                  <c:v>114</c:v>
                </c:pt>
                <c:pt idx="14">
                  <c:v>117</c:v>
                </c:pt>
                <c:pt idx="15">
                  <c:v>120</c:v>
                </c:pt>
                <c:pt idx="16">
                  <c:v>131.19999999999999</c:v>
                </c:pt>
                <c:pt idx="17">
                  <c:v>134.4</c:v>
                </c:pt>
                <c:pt idx="18">
                  <c:v>137.6</c:v>
                </c:pt>
                <c:pt idx="19">
                  <c:v>149.60000000000002</c:v>
                </c:pt>
                <c:pt idx="20">
                  <c:v>153</c:v>
                </c:pt>
                <c:pt idx="21">
                  <c:v>156.4</c:v>
                </c:pt>
                <c:pt idx="22">
                  <c:v>169.2</c:v>
                </c:pt>
                <c:pt idx="23">
                  <c:v>172.79999999999998</c:v>
                </c:pt>
              </c:numCache>
            </c:numRef>
          </c:val>
          <c:extLst>
            <c:ext xmlns:c16="http://schemas.microsoft.com/office/drawing/2014/chart" uri="{C3380CC4-5D6E-409C-BE32-E72D297353CC}">
              <c16:uniqueId val="{00000001-E87D-4025-AAFE-7662581D3D6B}"/>
            </c:ext>
          </c:extLst>
        </c:ser>
        <c:dLbls>
          <c:showLegendKey val="0"/>
          <c:showVal val="0"/>
          <c:showCatName val="0"/>
          <c:showSerName val="0"/>
          <c:showPercent val="0"/>
          <c:showBubbleSize val="0"/>
        </c:dLbls>
        <c:gapWidth val="1"/>
        <c:overlap val="-27"/>
        <c:axId val="1335356464"/>
        <c:axId val="1335350480"/>
      </c:barChart>
      <c:catAx>
        <c:axId val="13353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0480"/>
        <c:crosses val="autoZero"/>
        <c:auto val="1"/>
        <c:lblAlgn val="ctr"/>
        <c:lblOffset val="100"/>
        <c:noMultiLvlLbl val="0"/>
      </c:catAx>
      <c:valAx>
        <c:axId val="1335350480"/>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Organic</c:v>
          </c:tx>
          <c:spPr>
            <a:solidFill>
              <a:schemeClr val="accent1">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ASSUMPTIONS'!$D$68:$AA$68</c:f>
              <c:numCache>
                <c:formatCode>#,##0_);\(#,##0\);"--"</c:formatCode>
                <c:ptCount val="24"/>
                <c:pt idx="0">
                  <c:v>300</c:v>
                </c:pt>
                <c:pt idx="1">
                  <c:v>304.5</c:v>
                </c:pt>
                <c:pt idx="2">
                  <c:v>309</c:v>
                </c:pt>
                <c:pt idx="3">
                  <c:v>313.5</c:v>
                </c:pt>
                <c:pt idx="4">
                  <c:v>339.2</c:v>
                </c:pt>
                <c:pt idx="5">
                  <c:v>344</c:v>
                </c:pt>
                <c:pt idx="6">
                  <c:v>348.8</c:v>
                </c:pt>
                <c:pt idx="7">
                  <c:v>375.70000000000005</c:v>
                </c:pt>
                <c:pt idx="8">
                  <c:v>380.8</c:v>
                </c:pt>
                <c:pt idx="9">
                  <c:v>385.90000000000003</c:v>
                </c:pt>
                <c:pt idx="10">
                  <c:v>413.99999999999994</c:v>
                </c:pt>
                <c:pt idx="11">
                  <c:v>419.4</c:v>
                </c:pt>
                <c:pt idx="12">
                  <c:v>424.79999999999995</c:v>
                </c:pt>
                <c:pt idx="13">
                  <c:v>454.09999999999997</c:v>
                </c:pt>
                <c:pt idx="14">
                  <c:v>459.8</c:v>
                </c:pt>
                <c:pt idx="15">
                  <c:v>465.5</c:v>
                </c:pt>
                <c:pt idx="16">
                  <c:v>496</c:v>
                </c:pt>
                <c:pt idx="17">
                  <c:v>502</c:v>
                </c:pt>
                <c:pt idx="18">
                  <c:v>508</c:v>
                </c:pt>
                <c:pt idx="19">
                  <c:v>539.70000000000005</c:v>
                </c:pt>
                <c:pt idx="20">
                  <c:v>546</c:v>
                </c:pt>
                <c:pt idx="21">
                  <c:v>552.30000000000007</c:v>
                </c:pt>
                <c:pt idx="22">
                  <c:v>585.19999999999993</c:v>
                </c:pt>
                <c:pt idx="23">
                  <c:v>591.79999999999995</c:v>
                </c:pt>
              </c:numCache>
            </c:numRef>
          </c:val>
          <c:extLst>
            <c:ext xmlns:c16="http://schemas.microsoft.com/office/drawing/2014/chart" uri="{C3380CC4-5D6E-409C-BE32-E72D297353CC}">
              <c16:uniqueId val="{00000000-ED81-4074-A3E8-FCBABE7F7C28}"/>
            </c:ext>
          </c:extLst>
        </c:ser>
        <c:ser>
          <c:idx val="1"/>
          <c:order val="1"/>
          <c:tx>
            <c:v>Paid</c:v>
          </c:tx>
          <c:spPr>
            <a:solidFill>
              <a:schemeClr val="accent2">
                <a:lumMod val="60000"/>
                <a:lumOff val="40000"/>
              </a:schemeClr>
            </a:solidFill>
            <a:ln>
              <a:noFill/>
            </a:ln>
            <a:effectLst/>
          </c:spPr>
          <c:invertIfNegative val="0"/>
          <c:cat>
            <c:strRef>
              <c:f>'REVENUE ASSUMPTIONS'!$D$5:$AA$5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'REVENUE ASSUMPTIONS'!$D$69:$AA$69</c:f>
              <c:numCache>
                <c:formatCode>#,##0_);\(#,##0\);"--"</c:formatCode>
                <c:ptCount val="24"/>
                <c:pt idx="0">
                  <c:v>25</c:v>
                </c:pt>
                <c:pt idx="1">
                  <c:v>31.8</c:v>
                </c:pt>
                <c:pt idx="2">
                  <c:v>33.6</c:v>
                </c:pt>
                <c:pt idx="3">
                  <c:v>35.4</c:v>
                </c:pt>
                <c:pt idx="4">
                  <c:v>43.4</c:v>
                </c:pt>
                <c:pt idx="5">
                  <c:v>45.5</c:v>
                </c:pt>
                <c:pt idx="6">
                  <c:v>47.6</c:v>
                </c:pt>
                <c:pt idx="7">
                  <c:v>56.800000000000004</c:v>
                </c:pt>
                <c:pt idx="8">
                  <c:v>59.2</c:v>
                </c:pt>
                <c:pt idx="9">
                  <c:v>61.6</c:v>
                </c:pt>
                <c:pt idx="10">
                  <c:v>72</c:v>
                </c:pt>
                <c:pt idx="11">
                  <c:v>74.699999999999989</c:v>
                </c:pt>
                <c:pt idx="12">
                  <c:v>77.399999999999991</c:v>
                </c:pt>
                <c:pt idx="13">
                  <c:v>89</c:v>
                </c:pt>
                <c:pt idx="14">
                  <c:v>92</c:v>
                </c:pt>
                <c:pt idx="15">
                  <c:v>95</c:v>
                </c:pt>
                <c:pt idx="16">
                  <c:v>107.8</c:v>
                </c:pt>
                <c:pt idx="17">
                  <c:v>111.1</c:v>
                </c:pt>
                <c:pt idx="18">
                  <c:v>114.39999999999999</c:v>
                </c:pt>
                <c:pt idx="19">
                  <c:v>128.4</c:v>
                </c:pt>
                <c:pt idx="20">
                  <c:v>132</c:v>
                </c:pt>
                <c:pt idx="21">
                  <c:v>135.6</c:v>
                </c:pt>
                <c:pt idx="22">
                  <c:v>150.79999999999998</c:v>
                </c:pt>
                <c:pt idx="23">
                  <c:v>154.69999999999999</c:v>
                </c:pt>
              </c:numCache>
            </c:numRef>
          </c:val>
          <c:extLst>
            <c:ext xmlns:c16="http://schemas.microsoft.com/office/drawing/2014/chart" uri="{C3380CC4-5D6E-409C-BE32-E72D297353CC}">
              <c16:uniqueId val="{00000001-ED81-4074-A3E8-FCBABE7F7C28}"/>
            </c:ext>
          </c:extLst>
        </c:ser>
        <c:dLbls>
          <c:showLegendKey val="0"/>
          <c:showVal val="0"/>
          <c:showCatName val="0"/>
          <c:showSerName val="0"/>
          <c:showPercent val="0"/>
          <c:showBubbleSize val="0"/>
        </c:dLbls>
        <c:gapWidth val="1"/>
        <c:overlap val="-27"/>
        <c:axId val="1335353200"/>
        <c:axId val="1335349936"/>
      </c:barChart>
      <c:catAx>
        <c:axId val="133535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9936"/>
        <c:crosses val="autoZero"/>
        <c:auto val="1"/>
        <c:lblAlgn val="ctr"/>
        <c:lblOffset val="100"/>
        <c:noMultiLvlLbl val="0"/>
      </c:catAx>
      <c:valAx>
        <c:axId val="1335349936"/>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'COST ASSUMPTIONS'!$B$10:$C$10</c:f>
              <c:strCache>
                <c:ptCount val="2"/>
                <c:pt idx="0">
                  <c:v>Manufacturing (Per Order)</c:v>
                </c:pt>
                <c:pt idx="1">
                  <c:v>₹</c:v>
                </c:pt>
              </c:strCache>
            </c:strRef>
          </c:tx>
          <c:spPr>
            <a:solidFill>
              <a:schemeClr val="accent1">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ASSUMPTIONS'!$D$10:$AA$10</c:f>
              <c:numCache>
                <c:formatCode>_ [$₹-4009]\ * #,##0.00_ ;_ [$₹-4009]\ * \-#,##0.00_ ;_ [$₹-4009]\ * "-"??_ ;_ @_ </c:formatCode>
                <c:ptCount val="24"/>
                <c:pt idx="0">
                  <c:v>12</c:v>
                </c:pt>
                <c:pt idx="1">
                  <c:v>12</c:v>
                </c:pt>
                <c:pt idx="2">
                  <c:v>12</c:v>
                </c:pt>
                <c:pt idx="3">
                  <c:v>12</c:v>
                </c:pt>
                <c:pt idx="4">
                  <c:v>12</c:v>
                </c:pt>
                <c:pt idx="5">
                  <c:v>12</c:v>
                </c:pt>
                <c:pt idx="6">
                  <c:v>11</c:v>
                </c:pt>
                <c:pt idx="7">
                  <c:v>11</c:v>
                </c:pt>
                <c:pt idx="8">
                  <c:v>11</c:v>
                </c:pt>
                <c:pt idx="9">
                  <c:v>11</c:v>
                </c:pt>
                <c:pt idx="10">
                  <c:v>11</c:v>
                </c:pt>
                <c:pt idx="11">
                  <c:v>11</c:v>
                </c:pt>
                <c:pt idx="12">
                  <c:v>11</c:v>
                </c:pt>
                <c:pt idx="13">
                  <c:v>11</c:v>
                </c:pt>
                <c:pt idx="14">
                  <c:v>11</c:v>
                </c:pt>
                <c:pt idx="15">
                  <c:v>11</c:v>
                </c:pt>
                <c:pt idx="16">
                  <c:v>11</c:v>
                </c:pt>
                <c:pt idx="17">
                  <c:v>11</c:v>
                </c:pt>
                <c:pt idx="18">
                  <c:v>10</c:v>
                </c:pt>
                <c:pt idx="19">
                  <c:v>10</c:v>
                </c:pt>
                <c:pt idx="20">
                  <c:v>10</c:v>
                </c:pt>
                <c:pt idx="21">
                  <c:v>10</c:v>
                </c:pt>
                <c:pt idx="22">
                  <c:v>10</c:v>
                </c:pt>
                <c:pt idx="23">
                  <c:v>10</c:v>
                </c:pt>
              </c:numCache>
            </c:numRef>
          </c:val>
          <c:extLst>
            <c:ext xmlns:c16="http://schemas.microsoft.com/office/drawing/2014/chart" uri="{C3380CC4-5D6E-409C-BE32-E72D297353CC}">
              <c16:uniqueId val="{00000000-6806-4B21-938D-05904D29AB0F}"/>
            </c:ext>
          </c:extLst>
        </c:ser>
        <c:ser>
          <c:idx val="1"/>
          <c:order val="1"/>
          <c:tx>
            <c:strRef>
              <c:f>'COST ASSUMPTIONS'!$B$11:$C$11</c:f>
              <c:strCache>
                <c:ptCount val="2"/>
                <c:pt idx="0">
                  <c:v>Order Fulfillment (Per Order)</c:v>
                </c:pt>
                <c:pt idx="1">
                  <c:v>₹</c:v>
                </c:pt>
              </c:strCache>
            </c:strRef>
          </c:tx>
          <c:spPr>
            <a:solidFill>
              <a:schemeClr val="accent1">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ASSUMPTIONS'!$D$11:$AA$11</c:f>
              <c:numCache>
                <c:formatCode>_ [$₹-4009]\ * #,##0.00_ ;_ [$₹-4009]\ * \-#,##0.00_ ;_ [$₹-4009]\ * "-"??_ ;_ @_ </c:formatCode>
                <c:ptCount val="24"/>
                <c:pt idx="0">
                  <c:v>5</c:v>
                </c:pt>
                <c:pt idx="1">
                  <c:v>5</c:v>
                </c:pt>
                <c:pt idx="2">
                  <c:v>5</c:v>
                </c:pt>
                <c:pt idx="3">
                  <c:v>5</c:v>
                </c:pt>
                <c:pt idx="4">
                  <c:v>5</c:v>
                </c:pt>
                <c:pt idx="5">
                  <c:v>5</c:v>
                </c:pt>
                <c:pt idx="6">
                  <c:v>3</c:v>
                </c:pt>
                <c:pt idx="7">
                  <c:v>3</c:v>
                </c:pt>
                <c:pt idx="8">
                  <c:v>3</c:v>
                </c:pt>
                <c:pt idx="9">
                  <c:v>3</c:v>
                </c:pt>
                <c:pt idx="10">
                  <c:v>3</c:v>
                </c:pt>
                <c:pt idx="11">
                  <c:v>3</c:v>
                </c:pt>
                <c:pt idx="12">
                  <c:v>3</c:v>
                </c:pt>
                <c:pt idx="13">
                  <c:v>3</c:v>
                </c:pt>
                <c:pt idx="14">
                  <c:v>3</c:v>
                </c:pt>
                <c:pt idx="15">
                  <c:v>3</c:v>
                </c:pt>
                <c:pt idx="16">
                  <c:v>3</c:v>
                </c:pt>
                <c:pt idx="17">
                  <c:v>3</c:v>
                </c:pt>
                <c:pt idx="18">
                  <c:v>2</c:v>
                </c:pt>
                <c:pt idx="19">
                  <c:v>2</c:v>
                </c:pt>
                <c:pt idx="20">
                  <c:v>2</c:v>
                </c:pt>
                <c:pt idx="21">
                  <c:v>2</c:v>
                </c:pt>
                <c:pt idx="22">
                  <c:v>2</c:v>
                </c:pt>
                <c:pt idx="23">
                  <c:v>2</c:v>
                </c:pt>
              </c:numCache>
            </c:numRef>
          </c:val>
          <c:extLst>
            <c:ext xmlns:c16="http://schemas.microsoft.com/office/drawing/2014/chart" uri="{C3380CC4-5D6E-409C-BE32-E72D297353CC}">
              <c16:uniqueId val="{00000001-6806-4B21-938D-05904D29AB0F}"/>
            </c:ext>
          </c:extLst>
        </c:ser>
        <c:dLbls>
          <c:showLegendKey val="0"/>
          <c:showVal val="0"/>
          <c:showCatName val="0"/>
          <c:showSerName val="0"/>
          <c:showPercent val="0"/>
          <c:showBubbleSize val="0"/>
        </c:dLbls>
        <c:gapWidth val="50"/>
        <c:overlap val="-27"/>
        <c:axId val="1335353744"/>
        <c:axId val="1335357552"/>
      </c:barChart>
      <c:lineChart>
        <c:grouping val="standard"/>
        <c:varyColors val="0"/>
        <c:ser>
          <c:idx val="2"/>
          <c:order val="2"/>
          <c:tx>
            <c:strRef>
              <c:f>'COST ASSUMPTIONS'!$B$12:$C$12</c:f>
              <c:strCache>
                <c:ptCount val="2"/>
                <c:pt idx="0">
                  <c:v>Paid Traffic (Cost per Paid Click)</c:v>
                </c:pt>
                <c:pt idx="1">
                  <c:v>₹</c:v>
                </c:pt>
              </c:strCache>
            </c:strRef>
          </c:tx>
          <c:spPr>
            <a:ln w="28575" cap="rnd">
              <a:solidFill>
                <a:srgbClr val="FF0000"/>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ASSUMPTIONS'!$D$12:$AA$12</c:f>
              <c:numCache>
                <c:formatCode>_ [$₹-4009]\ * #,##0.00_ ;_ [$₹-4009]\ * \-#,##0.00_ ;_ [$₹-4009]\ * "-"??_ ;_ @_ </c:formatCode>
                <c:ptCount val="24"/>
                <c:pt idx="0">
                  <c:v>3</c:v>
                </c:pt>
                <c:pt idx="1">
                  <c:v>3</c:v>
                </c:pt>
                <c:pt idx="2">
                  <c:v>3</c:v>
                </c:pt>
                <c:pt idx="3">
                  <c:v>3</c:v>
                </c:pt>
                <c:pt idx="4">
                  <c:v>3</c:v>
                </c:pt>
                <c:pt idx="5">
                  <c:v>3</c:v>
                </c:pt>
                <c:pt idx="6">
                  <c:v>3</c:v>
                </c:pt>
                <c:pt idx="7">
                  <c:v>3</c:v>
                </c:pt>
                <c:pt idx="8">
                  <c:v>3</c:v>
                </c:pt>
                <c:pt idx="9">
                  <c:v>3</c:v>
                </c:pt>
                <c:pt idx="10">
                  <c:v>3</c:v>
                </c:pt>
                <c:pt idx="11">
                  <c:v>3</c:v>
                </c:pt>
                <c:pt idx="12">
                  <c:v>2</c:v>
                </c:pt>
                <c:pt idx="13">
                  <c:v>2</c:v>
                </c:pt>
                <c:pt idx="14">
                  <c:v>2</c:v>
                </c:pt>
                <c:pt idx="15">
                  <c:v>2</c:v>
                </c:pt>
                <c:pt idx="16">
                  <c:v>2</c:v>
                </c:pt>
                <c:pt idx="17">
                  <c:v>2</c:v>
                </c:pt>
                <c:pt idx="18">
                  <c:v>2</c:v>
                </c:pt>
                <c:pt idx="19">
                  <c:v>2</c:v>
                </c:pt>
                <c:pt idx="20">
                  <c:v>2</c:v>
                </c:pt>
                <c:pt idx="21">
                  <c:v>2</c:v>
                </c:pt>
                <c:pt idx="22">
                  <c:v>2</c:v>
                </c:pt>
                <c:pt idx="23">
                  <c:v>2</c:v>
                </c:pt>
              </c:numCache>
            </c:numRef>
          </c:val>
          <c:smooth val="0"/>
          <c:extLst>
            <c:ext xmlns:c16="http://schemas.microsoft.com/office/drawing/2014/chart" uri="{C3380CC4-5D6E-409C-BE32-E72D297353CC}">
              <c16:uniqueId val="{00000002-6806-4B21-938D-05904D29AB0F}"/>
            </c:ext>
          </c:extLst>
        </c:ser>
        <c:dLbls>
          <c:showLegendKey val="0"/>
          <c:showVal val="0"/>
          <c:showCatName val="0"/>
          <c:showSerName val="0"/>
          <c:showPercent val="0"/>
          <c:showBubbleSize val="0"/>
        </c:dLbls>
        <c:marker val="1"/>
        <c:smooth val="0"/>
        <c:axId val="38042975"/>
        <c:axId val="201170639"/>
      </c:lineChart>
      <c:catAx>
        <c:axId val="13353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7552"/>
        <c:crosses val="autoZero"/>
        <c:auto val="1"/>
        <c:lblAlgn val="ctr"/>
        <c:lblOffset val="100"/>
        <c:noMultiLvlLbl val="0"/>
      </c:catAx>
      <c:valAx>
        <c:axId val="1335357552"/>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3744"/>
        <c:crosses val="autoZero"/>
        <c:crossBetween val="between"/>
      </c:valAx>
      <c:valAx>
        <c:axId val="201170639"/>
        <c:scaling>
          <c:orientation val="minMax"/>
        </c:scaling>
        <c:delete val="0"/>
        <c:axPos val="r"/>
        <c:numFmt formatCode="_ [$₹-4009]\ * #,##0.00_ ;_ [$₹-4009]\ * \-#,##0.00_ ;_ [$₹-4009]\ * &quot;-&quot;??_ ;_ @_ " sourceLinked="1"/>
        <c:majorTickMark val="out"/>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042975"/>
        <c:crosses val="max"/>
        <c:crossBetween val="between"/>
      </c:valAx>
      <c:catAx>
        <c:axId val="38042975"/>
        <c:scaling>
          <c:orientation val="minMax"/>
        </c:scaling>
        <c:delete val="1"/>
        <c:axPos val="b"/>
        <c:majorTickMark val="out"/>
        <c:minorTickMark val="none"/>
        <c:tickLblPos val="nextTo"/>
        <c:crossAx val="2011706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'COST ASSUMPTIONS'!$B$16:$C$16</c:f>
              <c:strCache>
                <c:ptCount val="2"/>
                <c:pt idx="0">
                  <c:v>Warehouse Rent</c:v>
                </c:pt>
                <c:pt idx="1">
                  <c:v>₹</c:v>
                </c:pt>
              </c:strCache>
            </c:strRef>
          </c:tx>
          <c:spPr>
            <a:solidFill>
              <a:schemeClr val="accent1">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ASSUMPTIONS'!$D$16:$AA$16</c:f>
              <c:numCache>
                <c:formatCode>_ [$₹-4009]\ * #,##0.00_ ;_ [$₹-4009]\ * \-#,##0.00_ ;_ [$₹-4009]\ * "-"??_ ;_ @_ </c:formatCode>
                <c:ptCount val="24"/>
                <c:pt idx="0">
                  <c:v>10000</c:v>
                </c:pt>
                <c:pt idx="1">
                  <c:v>10000</c:v>
                </c:pt>
                <c:pt idx="2">
                  <c:v>10000</c:v>
                </c:pt>
                <c:pt idx="3">
                  <c:v>10000</c:v>
                </c:pt>
                <c:pt idx="4">
                  <c:v>10000</c:v>
                </c:pt>
                <c:pt idx="5">
                  <c:v>10000</c:v>
                </c:pt>
                <c:pt idx="6">
                  <c:v>10000</c:v>
                </c:pt>
                <c:pt idx="7">
                  <c:v>10000</c:v>
                </c:pt>
                <c:pt idx="8">
                  <c:v>10000</c:v>
                </c:pt>
                <c:pt idx="9">
                  <c:v>10000</c:v>
                </c:pt>
                <c:pt idx="10">
                  <c:v>10000</c:v>
                </c:pt>
                <c:pt idx="11">
                  <c:v>10000</c:v>
                </c:pt>
                <c:pt idx="12">
                  <c:v>12000</c:v>
                </c:pt>
                <c:pt idx="13">
                  <c:v>12000</c:v>
                </c:pt>
                <c:pt idx="14">
                  <c:v>12000</c:v>
                </c:pt>
                <c:pt idx="15">
                  <c:v>12000</c:v>
                </c:pt>
                <c:pt idx="16">
                  <c:v>12000</c:v>
                </c:pt>
                <c:pt idx="17">
                  <c:v>12000</c:v>
                </c:pt>
                <c:pt idx="18">
                  <c:v>12000</c:v>
                </c:pt>
                <c:pt idx="19">
                  <c:v>12000</c:v>
                </c:pt>
                <c:pt idx="20">
                  <c:v>12000</c:v>
                </c:pt>
                <c:pt idx="21">
                  <c:v>12000</c:v>
                </c:pt>
                <c:pt idx="22">
                  <c:v>12000</c:v>
                </c:pt>
                <c:pt idx="23">
                  <c:v>12000</c:v>
                </c:pt>
              </c:numCache>
            </c:numRef>
          </c:val>
          <c:extLst>
            <c:ext xmlns:c16="http://schemas.microsoft.com/office/drawing/2014/chart" uri="{C3380CC4-5D6E-409C-BE32-E72D297353CC}">
              <c16:uniqueId val="{00000000-CA90-4461-A453-6301CF030723}"/>
            </c:ext>
          </c:extLst>
        </c:ser>
        <c:ser>
          <c:idx val="1"/>
          <c:order val="1"/>
          <c:tx>
            <c:strRef>
              <c:f>'COST ASSUMPTIONS'!$B$17:$C$17</c:f>
              <c:strCache>
                <c:ptCount val="2"/>
                <c:pt idx="0">
                  <c:v>Office Rent</c:v>
                </c:pt>
                <c:pt idx="1">
                  <c:v>₹</c:v>
                </c:pt>
              </c:strCache>
            </c:strRef>
          </c:tx>
          <c:spPr>
            <a:solidFill>
              <a:schemeClr val="accent1">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ASSUMPTIONS'!$D$17:$AA$17</c:f>
              <c:numCache>
                <c:formatCode>_ [$₹-4009]\ * #,##0.00_ ;_ [$₹-4009]\ * \-#,##0.00_ ;_ [$₹-4009]\ * "-"??_ ;_ @_ </c:formatCode>
                <c:ptCount val="24"/>
                <c:pt idx="0">
                  <c:v>20000</c:v>
                </c:pt>
                <c:pt idx="1">
                  <c:v>20000</c:v>
                </c:pt>
                <c:pt idx="2">
                  <c:v>20000</c:v>
                </c:pt>
                <c:pt idx="3">
                  <c:v>20000</c:v>
                </c:pt>
                <c:pt idx="4">
                  <c:v>20000</c:v>
                </c:pt>
                <c:pt idx="5">
                  <c:v>20000</c:v>
                </c:pt>
                <c:pt idx="6">
                  <c:v>20000</c:v>
                </c:pt>
                <c:pt idx="7">
                  <c:v>20000</c:v>
                </c:pt>
                <c:pt idx="8">
                  <c:v>20000</c:v>
                </c:pt>
                <c:pt idx="9">
                  <c:v>20000</c:v>
                </c:pt>
                <c:pt idx="10">
                  <c:v>20000</c:v>
                </c:pt>
                <c:pt idx="11">
                  <c:v>20000</c:v>
                </c:pt>
                <c:pt idx="12">
                  <c:v>22000</c:v>
                </c:pt>
                <c:pt idx="13">
                  <c:v>22000</c:v>
                </c:pt>
                <c:pt idx="14">
                  <c:v>22000</c:v>
                </c:pt>
                <c:pt idx="15">
                  <c:v>22000</c:v>
                </c:pt>
                <c:pt idx="16">
                  <c:v>22000</c:v>
                </c:pt>
                <c:pt idx="17">
                  <c:v>22000</c:v>
                </c:pt>
                <c:pt idx="18">
                  <c:v>22000</c:v>
                </c:pt>
                <c:pt idx="19">
                  <c:v>22000</c:v>
                </c:pt>
                <c:pt idx="20">
                  <c:v>22000</c:v>
                </c:pt>
                <c:pt idx="21">
                  <c:v>22000</c:v>
                </c:pt>
                <c:pt idx="22">
                  <c:v>22000</c:v>
                </c:pt>
                <c:pt idx="23">
                  <c:v>22000</c:v>
                </c:pt>
              </c:numCache>
            </c:numRef>
          </c:val>
          <c:extLst>
            <c:ext xmlns:c16="http://schemas.microsoft.com/office/drawing/2014/chart" uri="{C3380CC4-5D6E-409C-BE32-E72D297353CC}">
              <c16:uniqueId val="{00000001-CA90-4461-A453-6301CF030723}"/>
            </c:ext>
          </c:extLst>
        </c:ser>
        <c:dLbls>
          <c:showLegendKey val="0"/>
          <c:showVal val="0"/>
          <c:showCatName val="0"/>
          <c:showSerName val="0"/>
          <c:showPercent val="0"/>
          <c:showBubbleSize val="0"/>
        </c:dLbls>
        <c:gapWidth val="50"/>
        <c:overlap val="-27"/>
        <c:axId val="1335347216"/>
        <c:axId val="1335359728"/>
      </c:barChart>
      <c:lineChart>
        <c:grouping val="standard"/>
        <c:varyColors val="0"/>
        <c:ser>
          <c:idx val="2"/>
          <c:order val="2"/>
          <c:tx>
            <c:strRef>
              <c:f>'COST ASSUMPTIONS'!$B$18:$C$18</c:f>
              <c:strCache>
                <c:ptCount val="2"/>
                <c:pt idx="0">
                  <c:v>Salaries</c:v>
                </c:pt>
                <c:pt idx="1">
                  <c:v>₹</c:v>
                </c:pt>
              </c:strCache>
            </c:strRef>
          </c:tx>
          <c:spPr>
            <a:ln w="28575" cap="rnd">
              <a:solidFill>
                <a:schemeClr val="bg2">
                  <a:lumMod val="50000"/>
                </a:schemeClr>
              </a:solidFill>
              <a:round/>
            </a:ln>
            <a:effectLst/>
          </c:spPr>
          <c:marker>
            <c:symbol val="none"/>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BE0-41D3-9386-67AD7AFF4322}"/>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BE0-41D3-9386-67AD7AFF4322}"/>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BE0-41D3-9386-67AD7AFF4322}"/>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BE0-41D3-9386-67AD7AFF4322}"/>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BE0-41D3-9386-67AD7AFF4322}"/>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BE0-41D3-9386-67AD7AFF4322}"/>
                </c:ext>
              </c:extLst>
            </c:dLbl>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BE0-41D3-9386-67AD7AFF4322}"/>
                </c:ext>
              </c:extLst>
            </c:dLbl>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BE0-41D3-9386-67AD7AFF4322}"/>
                </c:ext>
              </c:extLst>
            </c:dLbl>
            <c:dLbl>
              <c:idx val="1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BE0-41D3-9386-67AD7AFF4322}"/>
                </c:ext>
              </c:extLst>
            </c:dLbl>
            <c:dLbl>
              <c:idx val="2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BE0-41D3-9386-67AD7AFF4322}"/>
                </c:ext>
              </c:extLst>
            </c:dLbl>
            <c:dLbl>
              <c:idx val="2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BE0-41D3-9386-67AD7AFF4322}"/>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ASSUMPTIONS'!$D$18:$AA$18</c:f>
              <c:numCache>
                <c:formatCode>_ [$₹-4009]\ * #,##0.00_ ;_ [$₹-4009]\ * \-#,##0.00_ ;_ [$₹-4009]\ * "-"??_ ;_ @_ </c:formatCode>
                <c:ptCount val="24"/>
                <c:pt idx="0">
                  <c:v>30000</c:v>
                </c:pt>
                <c:pt idx="1">
                  <c:v>30000</c:v>
                </c:pt>
                <c:pt idx="2">
                  <c:v>30000</c:v>
                </c:pt>
                <c:pt idx="3">
                  <c:v>30000</c:v>
                </c:pt>
                <c:pt idx="4">
                  <c:v>30000</c:v>
                </c:pt>
                <c:pt idx="5">
                  <c:v>30000</c:v>
                </c:pt>
                <c:pt idx="6">
                  <c:v>30000</c:v>
                </c:pt>
                <c:pt idx="7">
                  <c:v>30000</c:v>
                </c:pt>
                <c:pt idx="8">
                  <c:v>30000</c:v>
                </c:pt>
                <c:pt idx="9">
                  <c:v>30000</c:v>
                </c:pt>
                <c:pt idx="10">
                  <c:v>30000</c:v>
                </c:pt>
                <c:pt idx="11">
                  <c:v>30000</c:v>
                </c:pt>
                <c:pt idx="12">
                  <c:v>32000</c:v>
                </c:pt>
                <c:pt idx="13">
                  <c:v>32000</c:v>
                </c:pt>
                <c:pt idx="14">
                  <c:v>32000</c:v>
                </c:pt>
                <c:pt idx="15">
                  <c:v>32000</c:v>
                </c:pt>
                <c:pt idx="16">
                  <c:v>32000</c:v>
                </c:pt>
                <c:pt idx="17">
                  <c:v>32000</c:v>
                </c:pt>
                <c:pt idx="18">
                  <c:v>32000</c:v>
                </c:pt>
                <c:pt idx="19">
                  <c:v>32000</c:v>
                </c:pt>
                <c:pt idx="20">
                  <c:v>32000</c:v>
                </c:pt>
                <c:pt idx="21">
                  <c:v>32000</c:v>
                </c:pt>
                <c:pt idx="22">
                  <c:v>32000</c:v>
                </c:pt>
                <c:pt idx="23">
                  <c:v>32000</c:v>
                </c:pt>
              </c:numCache>
            </c:numRef>
          </c:val>
          <c:smooth val="0"/>
          <c:extLst>
            <c:ext xmlns:c16="http://schemas.microsoft.com/office/drawing/2014/chart" uri="{C3380CC4-5D6E-409C-BE32-E72D297353CC}">
              <c16:uniqueId val="{00000002-CA90-4461-A453-6301CF030723}"/>
            </c:ext>
          </c:extLst>
        </c:ser>
        <c:ser>
          <c:idx val="3"/>
          <c:order val="3"/>
          <c:tx>
            <c:strRef>
              <c:f>'COST ASSUMPTIONS'!$B$19:$C$19</c:f>
              <c:strCache>
                <c:ptCount val="2"/>
                <c:pt idx="0">
                  <c:v>Other</c:v>
                </c:pt>
                <c:pt idx="1">
                  <c:v>₹</c:v>
                </c:pt>
              </c:strCache>
            </c:strRef>
          </c:tx>
          <c:spPr>
            <a:ln w="28575" cap="rnd">
              <a:solidFill>
                <a:srgbClr val="FF0000"/>
              </a:solid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E0-41D3-9386-67AD7AFF4322}"/>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E0-41D3-9386-67AD7AFF4322}"/>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E0-41D3-9386-67AD7AFF4322}"/>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E0-41D3-9386-67AD7AFF4322}"/>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E0-41D3-9386-67AD7AFF4322}"/>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E0-41D3-9386-67AD7AFF4322}"/>
                </c:ext>
              </c:extLst>
            </c:dLbl>
            <c:dLbl>
              <c:idx val="1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E0-41D3-9386-67AD7AFF4322}"/>
                </c:ext>
              </c:extLst>
            </c:dLbl>
            <c:dLbl>
              <c:idx val="1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E0-41D3-9386-67AD7AFF4322}"/>
                </c:ext>
              </c:extLst>
            </c:dLbl>
            <c:dLbl>
              <c:idx val="1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E0-41D3-9386-67AD7AFF4322}"/>
                </c:ext>
              </c:extLst>
            </c:dLbl>
            <c:dLbl>
              <c:idx val="1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E0-41D3-9386-67AD7AFF4322}"/>
                </c:ext>
              </c:extLst>
            </c:dLbl>
            <c:dLbl>
              <c:idx val="2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E0-41D3-9386-67AD7AFF4322}"/>
                </c:ext>
              </c:extLst>
            </c:dLbl>
            <c:dLbl>
              <c:idx val="2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BE0-41D3-9386-67AD7AFF4322}"/>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ASSUMPTIONS'!$D$19:$AA$19</c:f>
              <c:numCache>
                <c:formatCode>_ [$₹-4009]\ * #,##0.00_ ;_ [$₹-4009]\ * \-#,##0.00_ ;_ [$₹-4009]\ * "-"??_ ;_ @_ </c:formatCode>
                <c:ptCount val="24"/>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2200</c:v>
                </c:pt>
                <c:pt idx="13">
                  <c:v>2200</c:v>
                </c:pt>
                <c:pt idx="14">
                  <c:v>2200</c:v>
                </c:pt>
                <c:pt idx="15">
                  <c:v>2200</c:v>
                </c:pt>
                <c:pt idx="16">
                  <c:v>2200</c:v>
                </c:pt>
                <c:pt idx="17">
                  <c:v>2200</c:v>
                </c:pt>
                <c:pt idx="18">
                  <c:v>2200</c:v>
                </c:pt>
                <c:pt idx="19">
                  <c:v>2200</c:v>
                </c:pt>
                <c:pt idx="20">
                  <c:v>2200</c:v>
                </c:pt>
                <c:pt idx="21">
                  <c:v>2200</c:v>
                </c:pt>
                <c:pt idx="22">
                  <c:v>2200</c:v>
                </c:pt>
                <c:pt idx="23">
                  <c:v>2200</c:v>
                </c:pt>
              </c:numCache>
            </c:numRef>
          </c:val>
          <c:smooth val="0"/>
          <c:extLst>
            <c:ext xmlns:c16="http://schemas.microsoft.com/office/drawing/2014/chart" uri="{C3380CC4-5D6E-409C-BE32-E72D297353CC}">
              <c16:uniqueId val="{00000003-CA90-4461-A453-6301CF030723}"/>
            </c:ext>
          </c:extLst>
        </c:ser>
        <c:dLbls>
          <c:showLegendKey val="0"/>
          <c:showVal val="0"/>
          <c:showCatName val="0"/>
          <c:showSerName val="0"/>
          <c:showPercent val="0"/>
          <c:showBubbleSize val="0"/>
        </c:dLbls>
        <c:marker val="1"/>
        <c:smooth val="0"/>
        <c:axId val="1335347216"/>
        <c:axId val="1335359728"/>
      </c:lineChart>
      <c:catAx>
        <c:axId val="13353472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9728"/>
        <c:crosses val="autoZero"/>
        <c:auto val="1"/>
        <c:lblAlgn val="ctr"/>
        <c:lblOffset val="100"/>
        <c:noMultiLvlLbl val="0"/>
      </c:catAx>
      <c:valAx>
        <c:axId val="1335359728"/>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7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'COST ASSUMPTIONS'!$B$27:$C$27</c:f>
              <c:strCache>
                <c:ptCount val="2"/>
                <c:pt idx="0">
                  <c:v>Manufacturing (Per Order)</c:v>
                </c:pt>
                <c:pt idx="1">
                  <c:v>₹</c:v>
                </c:pt>
              </c:strCache>
            </c:strRef>
          </c:tx>
          <c:spPr>
            <a:ln w="28575" cap="rnd">
              <a:solidFill>
                <a:schemeClr val="accent1">
                  <a:lumMod val="75000"/>
                </a:schemeClr>
              </a:solidFill>
              <a:round/>
            </a:ln>
            <a:effectLst/>
          </c:spPr>
          <c:marker>
            <c:symbol val="none"/>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A2-4B79-9A01-DD18E960150F}"/>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A2-4B79-9A01-DD18E960150F}"/>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A2-4B79-9A01-DD18E960150F}"/>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A2-4B79-9A01-DD18E960150F}"/>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A2-4B79-9A01-DD18E960150F}"/>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A2-4B79-9A01-DD18E960150F}"/>
                </c:ext>
              </c:extLst>
            </c:dLbl>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A2-4B79-9A01-DD18E960150F}"/>
                </c:ext>
              </c:extLst>
            </c:dLbl>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A2-4B79-9A01-DD18E960150F}"/>
                </c:ext>
              </c:extLst>
            </c:dLbl>
            <c:dLbl>
              <c:idx val="1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A2-4B79-9A01-DD18E960150F}"/>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A2-4B79-9A01-DD18E960150F}"/>
                </c:ext>
              </c:extLst>
            </c:dLbl>
            <c:dLbl>
              <c:idx val="2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4A2-4B79-9A01-DD18E960150F}"/>
                </c:ext>
              </c:extLst>
            </c:dLbl>
            <c:dLbl>
              <c:idx val="2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A2-4B79-9A01-DD18E960150F}"/>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ASSUMPTIONS'!$D$27:$AA$27</c:f>
              <c:numCache>
                <c:formatCode>_ [$₹-4009]\ * #,##0.00_ ;_ [$₹-4009]\ * \-#,##0.00_ ;_ [$₹-4009]\ * "-"??_ ;_ @_ </c:formatCode>
                <c:ptCount val="24"/>
                <c:pt idx="0">
                  <c:v>12</c:v>
                </c:pt>
                <c:pt idx="1">
                  <c:v>12</c:v>
                </c:pt>
                <c:pt idx="2">
                  <c:v>12</c:v>
                </c:pt>
                <c:pt idx="3">
                  <c:v>12</c:v>
                </c:pt>
                <c:pt idx="4">
                  <c:v>12</c:v>
                </c:pt>
                <c:pt idx="5">
                  <c:v>12</c:v>
                </c:pt>
                <c:pt idx="6">
                  <c:v>12</c:v>
                </c:pt>
                <c:pt idx="7">
                  <c:v>12</c:v>
                </c:pt>
                <c:pt idx="8">
                  <c:v>12</c:v>
                </c:pt>
                <c:pt idx="9">
                  <c:v>12</c:v>
                </c:pt>
                <c:pt idx="10">
                  <c:v>12</c:v>
                </c:pt>
                <c:pt idx="11">
                  <c:v>12</c:v>
                </c:pt>
                <c:pt idx="12">
                  <c:v>11</c:v>
                </c:pt>
                <c:pt idx="13">
                  <c:v>11</c:v>
                </c:pt>
                <c:pt idx="14">
                  <c:v>11</c:v>
                </c:pt>
                <c:pt idx="15">
                  <c:v>11</c:v>
                </c:pt>
                <c:pt idx="16">
                  <c:v>11</c:v>
                </c:pt>
                <c:pt idx="17">
                  <c:v>11</c:v>
                </c:pt>
                <c:pt idx="18">
                  <c:v>11</c:v>
                </c:pt>
                <c:pt idx="19">
                  <c:v>11</c:v>
                </c:pt>
                <c:pt idx="20">
                  <c:v>11</c:v>
                </c:pt>
                <c:pt idx="21">
                  <c:v>11</c:v>
                </c:pt>
                <c:pt idx="22">
                  <c:v>11</c:v>
                </c:pt>
                <c:pt idx="23">
                  <c:v>11</c:v>
                </c:pt>
              </c:numCache>
            </c:numRef>
          </c:val>
          <c:smooth val="0"/>
          <c:extLst>
            <c:ext xmlns:c16="http://schemas.microsoft.com/office/drawing/2014/chart" uri="{C3380CC4-5D6E-409C-BE32-E72D297353CC}">
              <c16:uniqueId val="{00000000-07EE-416E-9E8A-A275869D8203}"/>
            </c:ext>
          </c:extLst>
        </c:ser>
        <c:ser>
          <c:idx val="1"/>
          <c:order val="1"/>
          <c:tx>
            <c:strRef>
              <c:f>'COST ASSUMPTIONS'!$B$28:$C$28</c:f>
              <c:strCache>
                <c:ptCount val="2"/>
                <c:pt idx="0">
                  <c:v>Order Fulfillment (Per Order)</c:v>
                </c:pt>
                <c:pt idx="1">
                  <c:v>₹</c:v>
                </c:pt>
              </c:strCache>
            </c:strRef>
          </c:tx>
          <c:spPr>
            <a:ln w="28575" cap="rnd">
              <a:solidFill>
                <a:schemeClr val="accent1">
                  <a:lumMod val="40000"/>
                  <a:lumOff val="60000"/>
                </a:schemeClr>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ASSUMPTIONS'!$D$28:$AA$28</c:f>
              <c:numCache>
                <c:formatCode>_ [$₹-4009]\ * #,##0.00_ ;_ [$₹-4009]\ * \-#,##0.00_ ;_ [$₹-4009]\ * "-"??_ ;_ @_ </c:formatCode>
                <c:ptCount val="24"/>
                <c:pt idx="0">
                  <c:v>5</c:v>
                </c:pt>
                <c:pt idx="1">
                  <c:v>5</c:v>
                </c:pt>
                <c:pt idx="2">
                  <c:v>5</c:v>
                </c:pt>
                <c:pt idx="3">
                  <c:v>5</c:v>
                </c:pt>
                <c:pt idx="4">
                  <c:v>5</c:v>
                </c:pt>
                <c:pt idx="5">
                  <c:v>5</c:v>
                </c:pt>
                <c:pt idx="6">
                  <c:v>4</c:v>
                </c:pt>
                <c:pt idx="7">
                  <c:v>4</c:v>
                </c:pt>
                <c:pt idx="8">
                  <c:v>4</c:v>
                </c:pt>
                <c:pt idx="9">
                  <c:v>4</c:v>
                </c:pt>
                <c:pt idx="10">
                  <c:v>4</c:v>
                </c:pt>
                <c:pt idx="11">
                  <c:v>4</c:v>
                </c:pt>
                <c:pt idx="12">
                  <c:v>4</c:v>
                </c:pt>
                <c:pt idx="13">
                  <c:v>4</c:v>
                </c:pt>
                <c:pt idx="14">
                  <c:v>4</c:v>
                </c:pt>
                <c:pt idx="15">
                  <c:v>4</c:v>
                </c:pt>
                <c:pt idx="16">
                  <c:v>4</c:v>
                </c:pt>
                <c:pt idx="17">
                  <c:v>4</c:v>
                </c:pt>
                <c:pt idx="18">
                  <c:v>3</c:v>
                </c:pt>
                <c:pt idx="19">
                  <c:v>3</c:v>
                </c:pt>
                <c:pt idx="20">
                  <c:v>3</c:v>
                </c:pt>
                <c:pt idx="21">
                  <c:v>3</c:v>
                </c:pt>
                <c:pt idx="22">
                  <c:v>3</c:v>
                </c:pt>
                <c:pt idx="23">
                  <c:v>3</c:v>
                </c:pt>
              </c:numCache>
            </c:numRef>
          </c:val>
          <c:smooth val="0"/>
          <c:extLst>
            <c:ext xmlns:c16="http://schemas.microsoft.com/office/drawing/2014/chart" uri="{C3380CC4-5D6E-409C-BE32-E72D297353CC}">
              <c16:uniqueId val="{00000001-07EE-416E-9E8A-A275869D8203}"/>
            </c:ext>
          </c:extLst>
        </c:ser>
        <c:ser>
          <c:idx val="2"/>
          <c:order val="2"/>
          <c:tx>
            <c:strRef>
              <c:f>'COST ASSUMPTIONS'!$B$29:$C$29</c:f>
              <c:strCache>
                <c:ptCount val="2"/>
                <c:pt idx="0">
                  <c:v>Paid Traffic (Cost per Paid Click)</c:v>
                </c:pt>
                <c:pt idx="1">
                  <c:v>₹</c:v>
                </c:pt>
              </c:strCache>
            </c:strRef>
          </c:tx>
          <c:spPr>
            <a:ln w="28575" cap="rnd">
              <a:solidFill>
                <a:srgbClr val="FF0000"/>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ASSUMPTIONS'!$D$29:$AA$29</c:f>
              <c:numCache>
                <c:formatCode>_ [$₹-4009]\ * #,##0.00_ ;_ [$₹-4009]\ * \-#,##0.00_ ;_ [$₹-4009]\ * "-"??_ ;_ @_ </c:formatCode>
                <c:ptCount val="24"/>
                <c:pt idx="0">
                  <c:v>4</c:v>
                </c:pt>
                <c:pt idx="1">
                  <c:v>4</c:v>
                </c:pt>
                <c:pt idx="2">
                  <c:v>4</c:v>
                </c:pt>
                <c:pt idx="3">
                  <c:v>4</c:v>
                </c:pt>
                <c:pt idx="4">
                  <c:v>4</c:v>
                </c:pt>
                <c:pt idx="5">
                  <c:v>4</c:v>
                </c:pt>
                <c:pt idx="6">
                  <c:v>4</c:v>
                </c:pt>
                <c:pt idx="7">
                  <c:v>4</c:v>
                </c:pt>
                <c:pt idx="8">
                  <c:v>4</c:v>
                </c:pt>
                <c:pt idx="9">
                  <c:v>4</c:v>
                </c:pt>
                <c:pt idx="10">
                  <c:v>4</c:v>
                </c:pt>
                <c:pt idx="11">
                  <c:v>4</c:v>
                </c:pt>
                <c:pt idx="12">
                  <c:v>3</c:v>
                </c:pt>
                <c:pt idx="13">
                  <c:v>3</c:v>
                </c:pt>
                <c:pt idx="14">
                  <c:v>3</c:v>
                </c:pt>
                <c:pt idx="15">
                  <c:v>3</c:v>
                </c:pt>
                <c:pt idx="16">
                  <c:v>3</c:v>
                </c:pt>
                <c:pt idx="17">
                  <c:v>3</c:v>
                </c:pt>
                <c:pt idx="18">
                  <c:v>3</c:v>
                </c:pt>
                <c:pt idx="19">
                  <c:v>3</c:v>
                </c:pt>
                <c:pt idx="20">
                  <c:v>3</c:v>
                </c:pt>
                <c:pt idx="21">
                  <c:v>3</c:v>
                </c:pt>
                <c:pt idx="22">
                  <c:v>3</c:v>
                </c:pt>
                <c:pt idx="23">
                  <c:v>3</c:v>
                </c:pt>
              </c:numCache>
            </c:numRef>
          </c:val>
          <c:smooth val="0"/>
          <c:extLst>
            <c:ext xmlns:c16="http://schemas.microsoft.com/office/drawing/2014/chart" uri="{C3380CC4-5D6E-409C-BE32-E72D297353CC}">
              <c16:uniqueId val="{00000002-07EE-416E-9E8A-A275869D8203}"/>
            </c:ext>
          </c:extLst>
        </c:ser>
        <c:dLbls>
          <c:showLegendKey val="0"/>
          <c:showVal val="0"/>
          <c:showCatName val="0"/>
          <c:showSerName val="0"/>
          <c:showPercent val="0"/>
          <c:showBubbleSize val="0"/>
        </c:dLbls>
        <c:smooth val="0"/>
        <c:axId val="1335348848"/>
        <c:axId val="1335351024"/>
      </c:lineChart>
      <c:catAx>
        <c:axId val="133534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1024"/>
        <c:crosses val="autoZero"/>
        <c:auto val="1"/>
        <c:lblAlgn val="ctr"/>
        <c:lblOffset val="100"/>
        <c:noMultiLvlLbl val="0"/>
      </c:catAx>
      <c:valAx>
        <c:axId val="1335351024"/>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8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'COST ASSUMPTIONS'!$B$44:$C$44</c:f>
              <c:strCache>
                <c:ptCount val="2"/>
                <c:pt idx="0">
                  <c:v>Manufacturing (Per Order)</c:v>
                </c:pt>
                <c:pt idx="1">
                  <c:v>₹</c:v>
                </c:pt>
              </c:strCache>
            </c:strRef>
          </c:tx>
          <c:spPr>
            <a:solidFill>
              <a:schemeClr val="accent1">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'COST ASSUMPTIONS'!$D$44:$AA$44</c:f>
              <c:numCache>
                <c:formatCode>_ [$₹-4009]\ * #,##0.00_ ;_ [$₹-4009]\ * \-#,##0.00_ ;_ [$₹-4009]\ * "-"??_ ;_ @_ </c:formatCode>
                <c:ptCount val="24"/>
                <c:pt idx="0">
                  <c:v>12</c:v>
                </c:pt>
                <c:pt idx="1">
                  <c:v>12</c:v>
                </c:pt>
                <c:pt idx="2">
                  <c:v>12</c:v>
                </c:pt>
                <c:pt idx="3">
                  <c:v>12</c:v>
                </c:pt>
                <c:pt idx="4">
                  <c:v>12</c:v>
                </c:pt>
                <c:pt idx="5">
                  <c:v>12</c:v>
                </c:pt>
                <c:pt idx="6">
                  <c:v>12</c:v>
                </c:pt>
                <c:pt idx="7">
                  <c:v>13</c:v>
                </c:pt>
                <c:pt idx="8">
                  <c:v>13</c:v>
                </c:pt>
                <c:pt idx="9">
                  <c:v>13</c:v>
                </c:pt>
                <c:pt idx="10">
                  <c:v>13</c:v>
                </c:pt>
                <c:pt idx="11">
                  <c:v>13</c:v>
                </c:pt>
                <c:pt idx="12">
                  <c:v>12</c:v>
                </c:pt>
                <c:pt idx="13">
                  <c:v>12</c:v>
                </c:pt>
                <c:pt idx="14">
                  <c:v>12</c:v>
                </c:pt>
                <c:pt idx="15">
                  <c:v>12</c:v>
                </c:pt>
                <c:pt idx="16">
                  <c:v>12</c:v>
                </c:pt>
                <c:pt idx="17">
                  <c:v>12</c:v>
                </c:pt>
                <c:pt idx="18">
                  <c:v>12</c:v>
                </c:pt>
                <c:pt idx="19">
                  <c:v>12</c:v>
                </c:pt>
                <c:pt idx="20">
                  <c:v>12</c:v>
                </c:pt>
                <c:pt idx="21">
                  <c:v>12</c:v>
                </c:pt>
                <c:pt idx="22">
                  <c:v>12</c:v>
                </c:pt>
                <c:pt idx="23">
                  <c:v>12</c:v>
                </c:pt>
              </c:numCache>
            </c:numRef>
          </c:val>
          <c:extLst>
            <c:ext xmlns:c16="http://schemas.microsoft.com/office/drawing/2014/chart" uri="{C3380CC4-5D6E-409C-BE32-E72D297353CC}">
              <c16:uniqueId val="{00000000-1851-4F70-9DEB-32F9318B1C10}"/>
            </c:ext>
          </c:extLst>
        </c:ser>
        <c:ser>
          <c:idx val="1"/>
          <c:order val="1"/>
          <c:tx>
            <c:strRef>
              <c:f>'COST ASSUMPTIONS'!$B$45:$C$45</c:f>
              <c:strCache>
                <c:ptCount val="2"/>
                <c:pt idx="0">
                  <c:v>Order Fulfillment (Per Order)</c:v>
                </c:pt>
                <c:pt idx="1">
                  <c:v>₹</c:v>
                </c:pt>
              </c:strCache>
            </c:strRef>
          </c:tx>
          <c:spPr>
            <a:solidFill>
              <a:schemeClr val="accent1">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ASSUMPTIONS'!$D$45:$AA$45</c:f>
              <c:numCache>
                <c:formatCode>_ [$₹-4009]\ * #,##0.00_ ;_ [$₹-4009]\ * \-#,##0.00_ ;_ [$₹-4009]\ * "-"??_ ;_ @_ </c:formatCode>
                <c:ptCount val="24"/>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4</c:v>
                </c:pt>
                <c:pt idx="19">
                  <c:v>4</c:v>
                </c:pt>
                <c:pt idx="20">
                  <c:v>4</c:v>
                </c:pt>
                <c:pt idx="21">
                  <c:v>4</c:v>
                </c:pt>
                <c:pt idx="22">
                  <c:v>4</c:v>
                </c:pt>
                <c:pt idx="23">
                  <c:v>4</c:v>
                </c:pt>
              </c:numCache>
            </c:numRef>
          </c:val>
          <c:extLst>
            <c:ext xmlns:c16="http://schemas.microsoft.com/office/drawing/2014/chart" uri="{C3380CC4-5D6E-409C-BE32-E72D297353CC}">
              <c16:uniqueId val="{00000001-1851-4F70-9DEB-32F9318B1C10}"/>
            </c:ext>
          </c:extLst>
        </c:ser>
        <c:ser>
          <c:idx val="2"/>
          <c:order val="2"/>
          <c:tx>
            <c:strRef>
              <c:f>'COST ASSUMPTIONS'!$B$46:$C$46</c:f>
              <c:strCache>
                <c:ptCount val="2"/>
                <c:pt idx="0">
                  <c:v>Paid Traffic (Cost per Paid Click)</c:v>
                </c:pt>
                <c:pt idx="1">
                  <c:v>₹</c:v>
                </c:pt>
              </c:strCache>
            </c:strRef>
          </c:tx>
          <c:spPr>
            <a:solidFill>
              <a:srgbClr val="FF000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ASSUMPTIONS'!$D$46:$AA$46</c:f>
              <c:numCache>
                <c:formatCode>_ [$₹-4009]\ * #,##0.00_ ;_ [$₹-4009]\ * \-#,##0.00_ ;_ [$₹-4009]\ * "-"??_ ;_ @_ </c:formatCode>
                <c:ptCount val="24"/>
                <c:pt idx="0">
                  <c:v>5</c:v>
                </c:pt>
                <c:pt idx="1">
                  <c:v>5</c:v>
                </c:pt>
                <c:pt idx="2">
                  <c:v>5</c:v>
                </c:pt>
                <c:pt idx="3">
                  <c:v>5</c:v>
                </c:pt>
                <c:pt idx="4">
                  <c:v>5</c:v>
                </c:pt>
                <c:pt idx="5">
                  <c:v>5</c:v>
                </c:pt>
                <c:pt idx="6">
                  <c:v>5</c:v>
                </c:pt>
                <c:pt idx="7">
                  <c:v>5</c:v>
                </c:pt>
                <c:pt idx="8">
                  <c:v>5</c:v>
                </c:pt>
                <c:pt idx="9">
                  <c:v>5</c:v>
                </c:pt>
                <c:pt idx="10">
                  <c:v>5</c:v>
                </c:pt>
                <c:pt idx="11">
                  <c:v>5</c:v>
                </c:pt>
                <c:pt idx="12">
                  <c:v>4</c:v>
                </c:pt>
                <c:pt idx="13">
                  <c:v>4</c:v>
                </c:pt>
                <c:pt idx="14">
                  <c:v>4</c:v>
                </c:pt>
                <c:pt idx="15">
                  <c:v>4</c:v>
                </c:pt>
                <c:pt idx="16">
                  <c:v>4</c:v>
                </c:pt>
                <c:pt idx="17">
                  <c:v>4</c:v>
                </c:pt>
                <c:pt idx="18">
                  <c:v>4</c:v>
                </c:pt>
                <c:pt idx="19">
                  <c:v>4</c:v>
                </c:pt>
                <c:pt idx="20">
                  <c:v>4</c:v>
                </c:pt>
                <c:pt idx="21">
                  <c:v>4</c:v>
                </c:pt>
                <c:pt idx="22">
                  <c:v>4</c:v>
                </c:pt>
                <c:pt idx="23">
                  <c:v>4</c:v>
                </c:pt>
              </c:numCache>
            </c:numRef>
          </c:val>
          <c:extLst>
            <c:ext xmlns:c16="http://schemas.microsoft.com/office/drawing/2014/chart" uri="{C3380CC4-5D6E-409C-BE32-E72D297353CC}">
              <c16:uniqueId val="{00000002-1851-4F70-9DEB-32F9318B1C10}"/>
            </c:ext>
          </c:extLst>
        </c:ser>
        <c:dLbls>
          <c:showLegendKey val="0"/>
          <c:showVal val="0"/>
          <c:showCatName val="0"/>
          <c:showSerName val="0"/>
          <c:showPercent val="0"/>
          <c:showBubbleSize val="0"/>
        </c:dLbls>
        <c:gapWidth val="50"/>
        <c:overlap val="100"/>
        <c:axId val="1335358096"/>
        <c:axId val="1335359184"/>
      </c:barChart>
      <c:catAx>
        <c:axId val="13353580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9184"/>
        <c:crosses val="autoZero"/>
        <c:auto val="1"/>
        <c:lblAlgn val="ctr"/>
        <c:lblOffset val="100"/>
        <c:noMultiLvlLbl val="0"/>
      </c:catAx>
      <c:valAx>
        <c:axId val="1335359184"/>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8096"/>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'COST ASSUMPTIONS'!$B$50:$C$50</c:f>
              <c:strCache>
                <c:ptCount val="2"/>
                <c:pt idx="0">
                  <c:v>Warehouse Rent</c:v>
                </c:pt>
                <c:pt idx="1">
                  <c:v>₹</c:v>
                </c:pt>
              </c:strCache>
            </c:strRef>
          </c:tx>
          <c:spPr>
            <a:ln w="28575" cap="rnd">
              <a:solidFill>
                <a:schemeClr val="accent1">
                  <a:lumMod val="40000"/>
                  <a:lumOff val="60000"/>
                </a:schemeClr>
              </a:solidFill>
              <a:round/>
            </a:ln>
            <a:effectLst/>
          </c:spPr>
          <c:marker>
            <c:symbol val="circle"/>
            <c:size val="5"/>
            <c:spPr>
              <a:solidFill>
                <a:schemeClr val="accent1"/>
              </a:solidFill>
              <a:ln w="9525">
                <a:solidFill>
                  <a:schemeClr val="accent1">
                    <a:lumMod val="40000"/>
                    <a:lumOff val="60000"/>
                  </a:schemeClr>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ASSUMPTIONS'!$D$50:$AA$50</c:f>
              <c:numCache>
                <c:formatCode>_ [$₹-4009]\ * #,##0.00_ ;_ [$₹-4009]\ * \-#,##0.00_ ;_ [$₹-4009]\ * "-"??_ ;_ @_ </c:formatCode>
                <c:ptCount val="24"/>
                <c:pt idx="0">
                  <c:v>14000</c:v>
                </c:pt>
                <c:pt idx="1">
                  <c:v>14000</c:v>
                </c:pt>
                <c:pt idx="2">
                  <c:v>14000</c:v>
                </c:pt>
                <c:pt idx="3">
                  <c:v>14000</c:v>
                </c:pt>
                <c:pt idx="4">
                  <c:v>14000</c:v>
                </c:pt>
                <c:pt idx="5">
                  <c:v>14000</c:v>
                </c:pt>
                <c:pt idx="6">
                  <c:v>14000</c:v>
                </c:pt>
                <c:pt idx="7">
                  <c:v>14000</c:v>
                </c:pt>
                <c:pt idx="8">
                  <c:v>14000</c:v>
                </c:pt>
                <c:pt idx="9">
                  <c:v>14000</c:v>
                </c:pt>
                <c:pt idx="10">
                  <c:v>14000</c:v>
                </c:pt>
                <c:pt idx="11">
                  <c:v>14000</c:v>
                </c:pt>
                <c:pt idx="12">
                  <c:v>16000</c:v>
                </c:pt>
                <c:pt idx="13">
                  <c:v>16000</c:v>
                </c:pt>
                <c:pt idx="14">
                  <c:v>16000</c:v>
                </c:pt>
                <c:pt idx="15">
                  <c:v>16000</c:v>
                </c:pt>
                <c:pt idx="16">
                  <c:v>16000</c:v>
                </c:pt>
                <c:pt idx="17">
                  <c:v>16000</c:v>
                </c:pt>
                <c:pt idx="18">
                  <c:v>16000</c:v>
                </c:pt>
                <c:pt idx="19">
                  <c:v>16000</c:v>
                </c:pt>
                <c:pt idx="20">
                  <c:v>16000</c:v>
                </c:pt>
                <c:pt idx="21">
                  <c:v>16000</c:v>
                </c:pt>
                <c:pt idx="22">
                  <c:v>16000</c:v>
                </c:pt>
                <c:pt idx="23">
                  <c:v>16000</c:v>
                </c:pt>
              </c:numCache>
            </c:numRef>
          </c:val>
          <c:smooth val="0"/>
          <c:extLst>
            <c:ext xmlns:c16="http://schemas.microsoft.com/office/drawing/2014/chart" uri="{C3380CC4-5D6E-409C-BE32-E72D297353CC}">
              <c16:uniqueId val="{00000000-0B0A-4298-B878-936AAE25A36F}"/>
            </c:ext>
          </c:extLst>
        </c:ser>
        <c:ser>
          <c:idx val="1"/>
          <c:order val="1"/>
          <c:tx>
            <c:strRef>
              <c:f>'COST ASSUMPTIONS'!$B$51:$C$51</c:f>
              <c:strCache>
                <c:ptCount val="2"/>
                <c:pt idx="0">
                  <c:v>Office Rent</c:v>
                </c:pt>
                <c:pt idx="1">
                  <c:v>₹</c:v>
                </c:pt>
              </c:strCache>
            </c:strRef>
          </c:tx>
          <c:spPr>
            <a:ln w="28575" cap="rnd">
              <a:solidFill>
                <a:schemeClr val="accent1">
                  <a:lumMod val="75000"/>
                </a:schemeClr>
              </a:solidFill>
              <a:round/>
            </a:ln>
            <a:effectLst/>
          </c:spPr>
          <c:marker>
            <c:symbol val="circle"/>
            <c:size val="5"/>
            <c:spPr>
              <a:solidFill>
                <a:schemeClr val="accent2"/>
              </a:solidFill>
              <a:ln w="9525">
                <a:solidFill>
                  <a:schemeClr val="accent1">
                    <a:lumMod val="75000"/>
                  </a:schemeClr>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ASSUMPTIONS'!$D$51:$AA$51</c:f>
              <c:numCache>
                <c:formatCode>_ [$₹-4009]\ * #,##0.00_ ;_ [$₹-4009]\ * \-#,##0.00_ ;_ [$₹-4009]\ * "-"??_ ;_ @_ </c:formatCode>
                <c:ptCount val="24"/>
                <c:pt idx="0">
                  <c:v>24000</c:v>
                </c:pt>
                <c:pt idx="1">
                  <c:v>24000</c:v>
                </c:pt>
                <c:pt idx="2">
                  <c:v>24000</c:v>
                </c:pt>
                <c:pt idx="3">
                  <c:v>24000</c:v>
                </c:pt>
                <c:pt idx="4">
                  <c:v>24000</c:v>
                </c:pt>
                <c:pt idx="5">
                  <c:v>24000</c:v>
                </c:pt>
                <c:pt idx="6">
                  <c:v>24000</c:v>
                </c:pt>
                <c:pt idx="7">
                  <c:v>24000</c:v>
                </c:pt>
                <c:pt idx="8">
                  <c:v>24000</c:v>
                </c:pt>
                <c:pt idx="9">
                  <c:v>24000</c:v>
                </c:pt>
                <c:pt idx="10">
                  <c:v>24000</c:v>
                </c:pt>
                <c:pt idx="11">
                  <c:v>24000</c:v>
                </c:pt>
                <c:pt idx="12">
                  <c:v>26000</c:v>
                </c:pt>
                <c:pt idx="13">
                  <c:v>26000</c:v>
                </c:pt>
                <c:pt idx="14">
                  <c:v>26000</c:v>
                </c:pt>
                <c:pt idx="15">
                  <c:v>26000</c:v>
                </c:pt>
                <c:pt idx="16">
                  <c:v>26000</c:v>
                </c:pt>
                <c:pt idx="17">
                  <c:v>26000</c:v>
                </c:pt>
                <c:pt idx="18">
                  <c:v>26000</c:v>
                </c:pt>
                <c:pt idx="19">
                  <c:v>26000</c:v>
                </c:pt>
                <c:pt idx="20">
                  <c:v>26000</c:v>
                </c:pt>
                <c:pt idx="21">
                  <c:v>26000</c:v>
                </c:pt>
                <c:pt idx="22">
                  <c:v>26000</c:v>
                </c:pt>
                <c:pt idx="23">
                  <c:v>26000</c:v>
                </c:pt>
              </c:numCache>
            </c:numRef>
          </c:val>
          <c:smooth val="0"/>
          <c:extLst>
            <c:ext xmlns:c16="http://schemas.microsoft.com/office/drawing/2014/chart" uri="{C3380CC4-5D6E-409C-BE32-E72D297353CC}">
              <c16:uniqueId val="{00000001-0B0A-4298-B878-936AAE25A36F}"/>
            </c:ext>
          </c:extLst>
        </c:ser>
        <c:ser>
          <c:idx val="2"/>
          <c:order val="2"/>
          <c:tx>
            <c:strRef>
              <c:f>'COST ASSUMPTIONS'!$B$52:$C$52</c:f>
              <c:strCache>
                <c:ptCount val="2"/>
                <c:pt idx="0">
                  <c:v>Salaries</c:v>
                </c:pt>
                <c:pt idx="1">
                  <c:v>₹</c:v>
                </c:pt>
              </c:strCache>
            </c:strRef>
          </c:tx>
          <c:spPr>
            <a:ln w="28575" cap="rnd">
              <a:solidFill>
                <a:schemeClr val="bg2">
                  <a:lumMod val="50000"/>
                </a:schemeClr>
              </a:solidFill>
              <a:round/>
            </a:ln>
            <a:effectLst/>
          </c:spPr>
          <c:marker>
            <c:symbol val="circle"/>
            <c:size val="5"/>
            <c:spPr>
              <a:solidFill>
                <a:schemeClr val="accent3"/>
              </a:solidFill>
              <a:ln w="9525">
                <a:solidFill>
                  <a:schemeClr val="bg2">
                    <a:lumMod val="50000"/>
                  </a:schemeClr>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ASSUMPTIONS'!$D$52:$AA$52</c:f>
              <c:numCache>
                <c:formatCode>_ [$₹-4009]\ * #,##0.00_ ;_ [$₹-4009]\ * \-#,##0.00_ ;_ [$₹-4009]\ * "-"??_ ;_ @_ </c:formatCode>
                <c:ptCount val="24"/>
                <c:pt idx="0">
                  <c:v>34000</c:v>
                </c:pt>
                <c:pt idx="1">
                  <c:v>34000</c:v>
                </c:pt>
                <c:pt idx="2">
                  <c:v>34000</c:v>
                </c:pt>
                <c:pt idx="3">
                  <c:v>34000</c:v>
                </c:pt>
                <c:pt idx="4">
                  <c:v>34000</c:v>
                </c:pt>
                <c:pt idx="5">
                  <c:v>34000</c:v>
                </c:pt>
                <c:pt idx="6">
                  <c:v>34000</c:v>
                </c:pt>
                <c:pt idx="7">
                  <c:v>34000</c:v>
                </c:pt>
                <c:pt idx="8">
                  <c:v>34000</c:v>
                </c:pt>
                <c:pt idx="9">
                  <c:v>34000</c:v>
                </c:pt>
                <c:pt idx="10">
                  <c:v>34000</c:v>
                </c:pt>
                <c:pt idx="11">
                  <c:v>34000</c:v>
                </c:pt>
                <c:pt idx="12">
                  <c:v>36000</c:v>
                </c:pt>
                <c:pt idx="13">
                  <c:v>36000</c:v>
                </c:pt>
                <c:pt idx="14">
                  <c:v>36000</c:v>
                </c:pt>
                <c:pt idx="15">
                  <c:v>36000</c:v>
                </c:pt>
                <c:pt idx="16">
                  <c:v>36000</c:v>
                </c:pt>
                <c:pt idx="17">
                  <c:v>36000</c:v>
                </c:pt>
                <c:pt idx="18">
                  <c:v>36000</c:v>
                </c:pt>
                <c:pt idx="19">
                  <c:v>36000</c:v>
                </c:pt>
                <c:pt idx="20">
                  <c:v>36000</c:v>
                </c:pt>
                <c:pt idx="21">
                  <c:v>36000</c:v>
                </c:pt>
                <c:pt idx="22">
                  <c:v>36000</c:v>
                </c:pt>
                <c:pt idx="23">
                  <c:v>36000</c:v>
                </c:pt>
              </c:numCache>
            </c:numRef>
          </c:val>
          <c:smooth val="0"/>
          <c:extLst>
            <c:ext xmlns:c16="http://schemas.microsoft.com/office/drawing/2014/chart" uri="{C3380CC4-5D6E-409C-BE32-E72D297353CC}">
              <c16:uniqueId val="{00000002-0B0A-4298-B878-936AAE25A36F}"/>
            </c:ext>
          </c:extLst>
        </c:ser>
        <c:ser>
          <c:idx val="3"/>
          <c:order val="3"/>
          <c:tx>
            <c:strRef>
              <c:f>'COST ASSUMPTIONS'!$B$53:$C$53</c:f>
              <c:strCache>
                <c:ptCount val="2"/>
                <c:pt idx="0">
                  <c:v>Other</c:v>
                </c:pt>
                <c:pt idx="1">
                  <c:v>₹</c:v>
                </c:pt>
              </c:strCache>
            </c:strRef>
          </c:tx>
          <c:spPr>
            <a:ln w="28575" cap="rnd">
              <a:solidFill>
                <a:srgbClr val="FF0000"/>
              </a:solidFill>
              <a:round/>
            </a:ln>
            <a:effectLst/>
          </c:spPr>
          <c:marker>
            <c:symbol val="circle"/>
            <c:size val="5"/>
            <c:spPr>
              <a:solidFill>
                <a:schemeClr val="accent4"/>
              </a:solidFill>
              <a:ln w="9525">
                <a:solidFill>
                  <a:srgbClr val="FF0000"/>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ASSUMPTIONS'!$D$53:$AA$53</c:f>
              <c:numCache>
                <c:formatCode>_ [$₹-4009]\ * #,##0.00_ ;_ [$₹-4009]\ * \-#,##0.00_ ;_ [$₹-4009]\ * "-"??_ ;_ @_ </c:formatCode>
                <c:ptCount val="24"/>
                <c:pt idx="0">
                  <c:v>3000</c:v>
                </c:pt>
                <c:pt idx="1">
                  <c:v>3000</c:v>
                </c:pt>
                <c:pt idx="2">
                  <c:v>3000</c:v>
                </c:pt>
                <c:pt idx="3">
                  <c:v>3000</c:v>
                </c:pt>
                <c:pt idx="4">
                  <c:v>3000</c:v>
                </c:pt>
                <c:pt idx="5">
                  <c:v>3000</c:v>
                </c:pt>
                <c:pt idx="6">
                  <c:v>3000</c:v>
                </c:pt>
                <c:pt idx="7">
                  <c:v>3000</c:v>
                </c:pt>
                <c:pt idx="8">
                  <c:v>3000</c:v>
                </c:pt>
                <c:pt idx="9">
                  <c:v>3000</c:v>
                </c:pt>
                <c:pt idx="10">
                  <c:v>3000</c:v>
                </c:pt>
                <c:pt idx="11">
                  <c:v>3000</c:v>
                </c:pt>
                <c:pt idx="12">
                  <c:v>3000</c:v>
                </c:pt>
                <c:pt idx="13">
                  <c:v>3000</c:v>
                </c:pt>
                <c:pt idx="14">
                  <c:v>3000</c:v>
                </c:pt>
                <c:pt idx="15">
                  <c:v>3000</c:v>
                </c:pt>
                <c:pt idx="16">
                  <c:v>3000</c:v>
                </c:pt>
                <c:pt idx="17">
                  <c:v>3000</c:v>
                </c:pt>
                <c:pt idx="18">
                  <c:v>3000</c:v>
                </c:pt>
                <c:pt idx="19">
                  <c:v>3000</c:v>
                </c:pt>
                <c:pt idx="20">
                  <c:v>3000</c:v>
                </c:pt>
                <c:pt idx="21">
                  <c:v>3000</c:v>
                </c:pt>
                <c:pt idx="22">
                  <c:v>3000</c:v>
                </c:pt>
                <c:pt idx="23">
                  <c:v>3000</c:v>
                </c:pt>
              </c:numCache>
            </c:numRef>
          </c:val>
          <c:smooth val="0"/>
          <c:extLst>
            <c:ext xmlns:c16="http://schemas.microsoft.com/office/drawing/2014/chart" uri="{C3380CC4-5D6E-409C-BE32-E72D297353CC}">
              <c16:uniqueId val="{00000003-0B0A-4298-B878-936AAE25A36F}"/>
            </c:ext>
          </c:extLst>
        </c:ser>
        <c:dLbls>
          <c:showLegendKey val="0"/>
          <c:showVal val="0"/>
          <c:showCatName val="0"/>
          <c:showSerName val="0"/>
          <c:showPercent val="0"/>
          <c:showBubbleSize val="0"/>
        </c:dLbls>
        <c:marker val="1"/>
        <c:smooth val="0"/>
        <c:axId val="1335346672"/>
        <c:axId val="1335347760"/>
      </c:lineChart>
      <c:catAx>
        <c:axId val="13353466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7760"/>
        <c:crosses val="autoZero"/>
        <c:auto val="1"/>
        <c:lblAlgn val="ctr"/>
        <c:lblOffset val="100"/>
        <c:noMultiLvlLbl val="0"/>
      </c:catAx>
      <c:valAx>
        <c:axId val="1335347760"/>
        <c:scaling>
          <c:orientation val="minMax"/>
        </c:scaling>
        <c:delete val="0"/>
        <c:axPos val="l"/>
        <c:numFmt formatCode="_ [$₹-4009]\ * #,##0.00_ ;_ [$₹-4009]\ * \-#,##0.00_ ;_ [$₹-4009]\ * &quot;-&quot;??_ ;_ @_ "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6672"/>
        <c:crosses val="autoZero"/>
        <c:crossBetween val="between"/>
        <c:majorUnit val="1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'COST ASSUMPTIONS'!$B$33:$C$33</c:f>
              <c:strCache>
                <c:ptCount val="2"/>
                <c:pt idx="0">
                  <c:v>Warehouse Rent</c:v>
                </c:pt>
                <c:pt idx="1">
                  <c:v>₹</c:v>
                </c:pt>
              </c:strCache>
            </c:strRef>
          </c:tx>
          <c:spPr>
            <a:ln w="28575" cap="rnd">
              <a:solidFill>
                <a:schemeClr val="accent1">
                  <a:lumMod val="40000"/>
                  <a:lumOff val="60000"/>
                </a:schemeClr>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E10-457C-85D2-836EE0B07B62}"/>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E10-457C-85D2-836EE0B07B62}"/>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E10-457C-85D2-836EE0B07B62}"/>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E10-457C-85D2-836EE0B07B62}"/>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E10-457C-85D2-836EE0B07B62}"/>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E10-457C-85D2-836EE0B07B62}"/>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E10-457C-85D2-836EE0B07B62}"/>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E10-457C-85D2-836EE0B07B62}"/>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E10-457C-85D2-836EE0B07B62}"/>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E10-457C-85D2-836EE0B07B62}"/>
                </c:ext>
              </c:extLst>
            </c:dLbl>
            <c:dLbl>
              <c:idx val="2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E10-457C-85D2-836EE0B07B62}"/>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E10-457C-85D2-836EE0B07B62}"/>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7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ASSUMPTIONS'!$D$33:$AA$33</c:f>
              <c:numCache>
                <c:formatCode>_ [$₹-4009]\ * #,##0.00_ ;_ [$₹-4009]\ * \-#,##0.00_ ;_ [$₹-4009]\ * "-"??_ ;_ @_ </c:formatCode>
                <c:ptCount val="24"/>
                <c:pt idx="0">
                  <c:v>12000</c:v>
                </c:pt>
                <c:pt idx="1">
                  <c:v>12000</c:v>
                </c:pt>
                <c:pt idx="2">
                  <c:v>12000</c:v>
                </c:pt>
                <c:pt idx="3">
                  <c:v>12000</c:v>
                </c:pt>
                <c:pt idx="4">
                  <c:v>12000</c:v>
                </c:pt>
                <c:pt idx="5">
                  <c:v>12000</c:v>
                </c:pt>
                <c:pt idx="6">
                  <c:v>12000</c:v>
                </c:pt>
                <c:pt idx="7">
                  <c:v>12000</c:v>
                </c:pt>
                <c:pt idx="8">
                  <c:v>12000</c:v>
                </c:pt>
                <c:pt idx="9">
                  <c:v>12000</c:v>
                </c:pt>
                <c:pt idx="10">
                  <c:v>12000</c:v>
                </c:pt>
                <c:pt idx="11">
                  <c:v>12000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numCache>
            </c:numRef>
          </c:val>
          <c:smooth val="0"/>
          <c:extLst>
            <c:ext xmlns:c16="http://schemas.microsoft.com/office/drawing/2014/chart" uri="{C3380CC4-5D6E-409C-BE32-E72D297353CC}">
              <c16:uniqueId val="{00000000-9561-4276-BEE7-1CB98F124EB1}"/>
            </c:ext>
          </c:extLst>
        </c:ser>
        <c:ser>
          <c:idx val="1"/>
          <c:order val="1"/>
          <c:tx>
            <c:strRef>
              <c:f>'COST ASSUMPTIONS'!$B$34:$C$34</c:f>
              <c:strCache>
                <c:ptCount val="2"/>
                <c:pt idx="0">
                  <c:v>Office Rent</c:v>
                </c:pt>
                <c:pt idx="1">
                  <c:v>₹</c:v>
                </c:pt>
              </c:strCache>
            </c:strRef>
          </c:tx>
          <c:spPr>
            <a:ln w="28575" cap="rnd">
              <a:solidFill>
                <a:schemeClr val="accent1">
                  <a:lumMod val="75000"/>
                </a:schemeClr>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10-457C-85D2-836EE0B07B62}"/>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10-457C-85D2-836EE0B07B62}"/>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10-457C-85D2-836EE0B07B62}"/>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10-457C-85D2-836EE0B07B62}"/>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10-457C-85D2-836EE0B07B62}"/>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10-457C-85D2-836EE0B07B62}"/>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10-457C-85D2-836EE0B07B62}"/>
                </c:ext>
              </c:extLst>
            </c:dLbl>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10-457C-85D2-836EE0B07B62}"/>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E10-457C-85D2-836EE0B07B62}"/>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10-457C-85D2-836EE0B07B62}"/>
                </c:ext>
              </c:extLst>
            </c:dLbl>
            <c:dLbl>
              <c:idx val="2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E10-457C-85D2-836EE0B07B62}"/>
                </c:ext>
              </c:extLst>
            </c:dLbl>
            <c:dLbl>
              <c:idx val="2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E10-457C-85D2-836EE0B07B62}"/>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7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ASSUMPTIONS'!$D$34:$AA$34</c:f>
              <c:numCache>
                <c:formatCode>_ [$₹-4009]\ * #,##0.00_ ;_ [$₹-4009]\ * \-#,##0.00_ ;_ [$₹-4009]\ * "-"??_ ;_ @_ </c:formatCode>
                <c:ptCount val="24"/>
                <c:pt idx="0">
                  <c:v>22000</c:v>
                </c:pt>
                <c:pt idx="1">
                  <c:v>22000</c:v>
                </c:pt>
                <c:pt idx="2">
                  <c:v>22000</c:v>
                </c:pt>
                <c:pt idx="3">
                  <c:v>22000</c:v>
                </c:pt>
                <c:pt idx="4">
                  <c:v>22000</c:v>
                </c:pt>
                <c:pt idx="5">
                  <c:v>22000</c:v>
                </c:pt>
                <c:pt idx="6">
                  <c:v>22000</c:v>
                </c:pt>
                <c:pt idx="7">
                  <c:v>22000</c:v>
                </c:pt>
                <c:pt idx="8">
                  <c:v>22000</c:v>
                </c:pt>
                <c:pt idx="9">
                  <c:v>22000</c:v>
                </c:pt>
                <c:pt idx="10">
                  <c:v>22000</c:v>
                </c:pt>
                <c:pt idx="11">
                  <c:v>22000</c:v>
                </c:pt>
                <c:pt idx="12">
                  <c:v>23000</c:v>
                </c:pt>
                <c:pt idx="13">
                  <c:v>23000</c:v>
                </c:pt>
                <c:pt idx="14">
                  <c:v>23000</c:v>
                </c:pt>
                <c:pt idx="15">
                  <c:v>23000</c:v>
                </c:pt>
                <c:pt idx="16">
                  <c:v>23000</c:v>
                </c:pt>
                <c:pt idx="17">
                  <c:v>23000</c:v>
                </c:pt>
                <c:pt idx="18">
                  <c:v>23000</c:v>
                </c:pt>
                <c:pt idx="19">
                  <c:v>23000</c:v>
                </c:pt>
                <c:pt idx="20">
                  <c:v>23000</c:v>
                </c:pt>
                <c:pt idx="21">
                  <c:v>23000</c:v>
                </c:pt>
                <c:pt idx="22">
                  <c:v>23000</c:v>
                </c:pt>
                <c:pt idx="23">
                  <c:v>23000</c:v>
                </c:pt>
              </c:numCache>
            </c:numRef>
          </c:val>
          <c:smooth val="0"/>
          <c:extLst>
            <c:ext xmlns:c16="http://schemas.microsoft.com/office/drawing/2014/chart" uri="{C3380CC4-5D6E-409C-BE32-E72D297353CC}">
              <c16:uniqueId val="{00000001-9561-4276-BEE7-1CB98F124EB1}"/>
            </c:ext>
          </c:extLst>
        </c:ser>
        <c:ser>
          <c:idx val="2"/>
          <c:order val="2"/>
          <c:tx>
            <c:strRef>
              <c:f>'COST ASSUMPTIONS'!$B$35:$C$35</c:f>
              <c:strCache>
                <c:ptCount val="2"/>
                <c:pt idx="0">
                  <c:v>Salaries</c:v>
                </c:pt>
                <c:pt idx="1">
                  <c:v>₹</c:v>
                </c:pt>
              </c:strCache>
            </c:strRef>
          </c:tx>
          <c:spPr>
            <a:ln w="28575" cap="rnd">
              <a:solidFill>
                <a:schemeClr val="bg2">
                  <a:lumMod val="50000"/>
                </a:schemeClr>
              </a:solidFill>
              <a:round/>
            </a:ln>
            <a:effectLst/>
          </c:spPr>
          <c:marker>
            <c:symbol val="none"/>
          </c:marker>
          <c:dLbls>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7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ASSUMPTIONS'!$D$35:$AA$35</c:f>
              <c:numCache>
                <c:formatCode>_ [$₹-4009]\ * #,##0.00_ ;_ [$₹-4009]\ * \-#,##0.00_ ;_ [$₹-4009]\ * "-"??_ ;_ @_ </c:formatCode>
                <c:ptCount val="24"/>
                <c:pt idx="0">
                  <c:v>32000</c:v>
                </c:pt>
                <c:pt idx="1">
                  <c:v>32000</c:v>
                </c:pt>
                <c:pt idx="2">
                  <c:v>32000</c:v>
                </c:pt>
                <c:pt idx="3">
                  <c:v>32000</c:v>
                </c:pt>
                <c:pt idx="4">
                  <c:v>32000</c:v>
                </c:pt>
                <c:pt idx="5">
                  <c:v>32000</c:v>
                </c:pt>
                <c:pt idx="6">
                  <c:v>32000</c:v>
                </c:pt>
                <c:pt idx="7">
                  <c:v>32000</c:v>
                </c:pt>
                <c:pt idx="8">
                  <c:v>32000</c:v>
                </c:pt>
                <c:pt idx="9">
                  <c:v>32000</c:v>
                </c:pt>
                <c:pt idx="10">
                  <c:v>32000</c:v>
                </c:pt>
                <c:pt idx="11">
                  <c:v>32000</c:v>
                </c:pt>
                <c:pt idx="12">
                  <c:v>33000</c:v>
                </c:pt>
                <c:pt idx="13">
                  <c:v>33000</c:v>
                </c:pt>
                <c:pt idx="14">
                  <c:v>33000</c:v>
                </c:pt>
                <c:pt idx="15">
                  <c:v>33000</c:v>
                </c:pt>
                <c:pt idx="16">
                  <c:v>33000</c:v>
                </c:pt>
                <c:pt idx="17">
                  <c:v>33000</c:v>
                </c:pt>
                <c:pt idx="18">
                  <c:v>33000</c:v>
                </c:pt>
                <c:pt idx="19">
                  <c:v>33000</c:v>
                </c:pt>
                <c:pt idx="20">
                  <c:v>33000</c:v>
                </c:pt>
                <c:pt idx="21">
                  <c:v>33000</c:v>
                </c:pt>
                <c:pt idx="22">
                  <c:v>33000</c:v>
                </c:pt>
                <c:pt idx="23">
                  <c:v>33000</c:v>
                </c:pt>
              </c:numCache>
            </c:numRef>
          </c:val>
          <c:smooth val="0"/>
          <c:extLst>
            <c:ext xmlns:c16="http://schemas.microsoft.com/office/drawing/2014/chart" uri="{C3380CC4-5D6E-409C-BE32-E72D297353CC}">
              <c16:uniqueId val="{00000002-9561-4276-BEE7-1CB98F124EB1}"/>
            </c:ext>
          </c:extLst>
        </c:ser>
        <c:ser>
          <c:idx val="3"/>
          <c:order val="3"/>
          <c:tx>
            <c:strRef>
              <c:f>'COST ASSUMPTIONS'!$B$36:$C$36</c:f>
              <c:strCache>
                <c:ptCount val="2"/>
                <c:pt idx="0">
                  <c:v>Other</c:v>
                </c:pt>
                <c:pt idx="1">
                  <c:v>₹</c:v>
                </c:pt>
              </c:strCache>
            </c:strRef>
          </c:tx>
          <c:spPr>
            <a:ln w="28575" cap="rnd">
              <a:solidFill>
                <a:srgbClr val="FF0000"/>
              </a:solidFill>
              <a:round/>
            </a:ln>
            <a:effectLst/>
          </c:spPr>
          <c:marker>
            <c:symbol val="none"/>
          </c:marker>
          <c:dLbls>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7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ASSUMPTIONS'!$D$36:$AA$36</c:f>
              <c:numCache>
                <c:formatCode>_ [$₹-4009]\ * #,##0.00_ ;_ [$₹-4009]\ * \-#,##0.00_ ;_ [$₹-4009]\ * "-"??_ ;_ @_ </c:formatCode>
                <c:ptCount val="24"/>
                <c:pt idx="0">
                  <c:v>2200</c:v>
                </c:pt>
                <c:pt idx="1">
                  <c:v>2200</c:v>
                </c:pt>
                <c:pt idx="2">
                  <c:v>2200</c:v>
                </c:pt>
                <c:pt idx="3">
                  <c:v>2200</c:v>
                </c:pt>
                <c:pt idx="4">
                  <c:v>2200</c:v>
                </c:pt>
                <c:pt idx="5">
                  <c:v>2200</c:v>
                </c:pt>
                <c:pt idx="6">
                  <c:v>2200</c:v>
                </c:pt>
                <c:pt idx="7">
                  <c:v>2200</c:v>
                </c:pt>
                <c:pt idx="8">
                  <c:v>2200</c:v>
                </c:pt>
                <c:pt idx="9">
                  <c:v>2200</c:v>
                </c:pt>
                <c:pt idx="10">
                  <c:v>2200</c:v>
                </c:pt>
                <c:pt idx="11">
                  <c:v>2200</c:v>
                </c:pt>
                <c:pt idx="12">
                  <c:v>2300</c:v>
                </c:pt>
                <c:pt idx="13">
                  <c:v>2300</c:v>
                </c:pt>
                <c:pt idx="14">
                  <c:v>2300</c:v>
                </c:pt>
                <c:pt idx="15">
                  <c:v>2300</c:v>
                </c:pt>
                <c:pt idx="16">
                  <c:v>2300</c:v>
                </c:pt>
                <c:pt idx="17">
                  <c:v>2300</c:v>
                </c:pt>
                <c:pt idx="18">
                  <c:v>2300</c:v>
                </c:pt>
                <c:pt idx="19">
                  <c:v>2300</c:v>
                </c:pt>
                <c:pt idx="20">
                  <c:v>2300</c:v>
                </c:pt>
                <c:pt idx="21">
                  <c:v>2300</c:v>
                </c:pt>
                <c:pt idx="22">
                  <c:v>2300</c:v>
                </c:pt>
                <c:pt idx="23">
                  <c:v>2300</c:v>
                </c:pt>
              </c:numCache>
            </c:numRef>
          </c:val>
          <c:smooth val="0"/>
          <c:extLst>
            <c:ext xmlns:c16="http://schemas.microsoft.com/office/drawing/2014/chart" uri="{C3380CC4-5D6E-409C-BE32-E72D297353CC}">
              <c16:uniqueId val="{00000003-9561-4276-BEE7-1CB98F124EB1}"/>
            </c:ext>
          </c:extLst>
        </c:ser>
        <c:dLbls>
          <c:showLegendKey val="0"/>
          <c:showVal val="0"/>
          <c:showCatName val="0"/>
          <c:showSerName val="0"/>
          <c:showPercent val="0"/>
          <c:showBubbleSize val="0"/>
        </c:dLbls>
        <c:smooth val="0"/>
        <c:axId val="1335358640"/>
        <c:axId val="1335348304"/>
      </c:lineChart>
      <c:catAx>
        <c:axId val="13353586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48304"/>
        <c:crosses val="autoZero"/>
        <c:auto val="1"/>
        <c:lblAlgn val="ctr"/>
        <c:lblOffset val="100"/>
        <c:noMultiLvlLbl val="0"/>
      </c:catAx>
      <c:valAx>
        <c:axId val="1335348304"/>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75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dash"/>
                <a:headEnd type="triangle" w="lg" len="lg"/>
                <a:tailEnd type="triangle"/>
              </a:ln>
              <a:effectLst/>
            </c:spPr>
            <c:trendlineType val="poly"/>
            <c:order val="2"/>
            <c:dispRSqr val="0"/>
            <c:dispEq val="0"/>
          </c:trendline>
          <c:cat>
            <c:strRef>
              <c:f>'INCOME STATEMENT'!$D$5:$AA$5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'INCOME STATEMENT'!$D$8:$AA$8</c:f>
              <c:numCache>
                <c:formatCode>#,##0_);\(#,##0\);"--"</c:formatCode>
                <c:ptCount val="24"/>
                <c:pt idx="0">
                  <c:v>45000</c:v>
                </c:pt>
                <c:pt idx="1">
                  <c:v>48560</c:v>
                </c:pt>
                <c:pt idx="2">
                  <c:v>49620</c:v>
                </c:pt>
                <c:pt idx="3">
                  <c:v>50680.000000000007</c:v>
                </c:pt>
                <c:pt idx="4">
                  <c:v>54479.999999999993</c:v>
                </c:pt>
                <c:pt idx="5">
                  <c:v>55600</c:v>
                </c:pt>
                <c:pt idx="6">
                  <c:v>56719.999999999993</c:v>
                </c:pt>
                <c:pt idx="7">
                  <c:v>60760</c:v>
                </c:pt>
                <c:pt idx="8">
                  <c:v>61940</c:v>
                </c:pt>
                <c:pt idx="9">
                  <c:v>63119.999999999993</c:v>
                </c:pt>
                <c:pt idx="10">
                  <c:v>67400</c:v>
                </c:pt>
                <c:pt idx="11">
                  <c:v>68640</c:v>
                </c:pt>
                <c:pt idx="12">
                  <c:v>142555.20000000001</c:v>
                </c:pt>
                <c:pt idx="13">
                  <c:v>151776</c:v>
                </c:pt>
                <c:pt idx="14">
                  <c:v>154428</c:v>
                </c:pt>
                <c:pt idx="15">
                  <c:v>157080</c:v>
                </c:pt>
                <c:pt idx="16">
                  <c:v>166790.39999999999</c:v>
                </c:pt>
                <c:pt idx="17">
                  <c:v>169564.79999999999</c:v>
                </c:pt>
                <c:pt idx="18">
                  <c:v>172339.19999999998</c:v>
                </c:pt>
                <c:pt idx="19">
                  <c:v>182539.2</c:v>
                </c:pt>
                <c:pt idx="20">
                  <c:v>185436</c:v>
                </c:pt>
                <c:pt idx="21">
                  <c:v>188332.79999999999</c:v>
                </c:pt>
                <c:pt idx="22">
                  <c:v>199022.4</c:v>
                </c:pt>
                <c:pt idx="23">
                  <c:v>202041.60000000001</c:v>
                </c:pt>
              </c:numCache>
            </c:numRef>
          </c:val>
          <c:extLst>
            <c:ext xmlns:c16="http://schemas.microsoft.com/office/drawing/2014/chart" uri="{C3380CC4-5D6E-409C-BE32-E72D297353CC}">
              <c16:uniqueId val="{00000000-1DAD-4B92-B1F0-A9FCD80A3F92}"/>
            </c:ext>
          </c:extLst>
        </c:ser>
        <c:dLbls>
          <c:showLegendKey val="0"/>
          <c:showVal val="0"/>
          <c:showCatName val="0"/>
          <c:showSerName val="0"/>
          <c:showPercent val="0"/>
          <c:showBubbleSize val="0"/>
        </c:dLbls>
        <c:gapWidth val="50"/>
        <c:overlap val="-27"/>
        <c:axId val="1335351568"/>
        <c:axId val="1335354288"/>
      </c:barChart>
      <c:catAx>
        <c:axId val="13353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4288"/>
        <c:crosses val="autoZero"/>
        <c:auto val="1"/>
        <c:lblAlgn val="ctr"/>
        <c:lblOffset val="100"/>
        <c:noMultiLvlLbl val="0"/>
      </c:catAx>
      <c:valAx>
        <c:axId val="1335354288"/>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40000"/>
                <a:lumOff val="60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dash"/>
                <a:headEnd type="triangle"/>
                <a:tailEnd type="triangle"/>
              </a:ln>
              <a:effectLst/>
            </c:spPr>
            <c:trendlineType val="linear"/>
            <c:dispRSqr val="0"/>
            <c:dispEq val="0"/>
          </c:trendline>
          <c:cat>
            <c:strRef>
              <c:f>'INCOME STATEMENT'!$D$5:$AA$5</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'INCOME STATEMENT'!$D$31:$AA$31</c:f>
              <c:numCache>
                <c:formatCode>#,##0_);\(#,##0\);"--"</c:formatCode>
                <c:ptCount val="24"/>
                <c:pt idx="0">
                  <c:v>95850</c:v>
                </c:pt>
                <c:pt idx="1">
                  <c:v>97255.2</c:v>
                </c:pt>
                <c:pt idx="2">
                  <c:v>98235.4</c:v>
                </c:pt>
                <c:pt idx="3">
                  <c:v>99215.6</c:v>
                </c:pt>
                <c:pt idx="4">
                  <c:v>100661.6</c:v>
                </c:pt>
                <c:pt idx="5">
                  <c:v>101652</c:v>
                </c:pt>
                <c:pt idx="6">
                  <c:v>102075.2</c:v>
                </c:pt>
                <c:pt idx="7">
                  <c:v>103521.59999999999</c:v>
                </c:pt>
                <c:pt idx="8">
                  <c:v>104510.40000000001</c:v>
                </c:pt>
                <c:pt idx="9">
                  <c:v>105499.2</c:v>
                </c:pt>
                <c:pt idx="10">
                  <c:v>106984</c:v>
                </c:pt>
                <c:pt idx="11">
                  <c:v>107982.40000000001</c:v>
                </c:pt>
                <c:pt idx="12">
                  <c:v>103982</c:v>
                </c:pt>
                <c:pt idx="13">
                  <c:v>105260</c:v>
                </c:pt>
                <c:pt idx="14">
                  <c:v>106055</c:v>
                </c:pt>
                <c:pt idx="15">
                  <c:v>106850</c:v>
                </c:pt>
                <c:pt idx="16">
                  <c:v>108164</c:v>
                </c:pt>
                <c:pt idx="17">
                  <c:v>108968</c:v>
                </c:pt>
                <c:pt idx="18">
                  <c:v>108927.2</c:v>
                </c:pt>
                <c:pt idx="19">
                  <c:v>110227.2</c:v>
                </c:pt>
                <c:pt idx="20">
                  <c:v>111026</c:v>
                </c:pt>
                <c:pt idx="21">
                  <c:v>111824.8</c:v>
                </c:pt>
                <c:pt idx="22">
                  <c:v>113158.39999999999</c:v>
                </c:pt>
                <c:pt idx="23">
                  <c:v>113965.59999999999</c:v>
                </c:pt>
              </c:numCache>
            </c:numRef>
          </c:val>
          <c:extLst>
            <c:ext xmlns:c16="http://schemas.microsoft.com/office/drawing/2014/chart" uri="{C3380CC4-5D6E-409C-BE32-E72D297353CC}">
              <c16:uniqueId val="{00000000-A277-460D-958E-6A7EB4F251D2}"/>
            </c:ext>
          </c:extLst>
        </c:ser>
        <c:dLbls>
          <c:showLegendKey val="0"/>
          <c:showVal val="0"/>
          <c:showCatName val="0"/>
          <c:showSerName val="0"/>
          <c:showPercent val="0"/>
          <c:showBubbleSize val="0"/>
        </c:dLbls>
        <c:gapWidth val="50"/>
        <c:overlap val="-27"/>
        <c:axId val="1335354832"/>
        <c:axId val="1335355920"/>
      </c:barChart>
      <c:catAx>
        <c:axId val="13353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5920"/>
        <c:crosses val="autoZero"/>
        <c:auto val="1"/>
        <c:lblAlgn val="ctr"/>
        <c:lblOffset val="100"/>
        <c:noMultiLvlLbl val="0"/>
      </c:catAx>
      <c:valAx>
        <c:axId val="1335355920"/>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508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'INCOME STATEMENT'!$D$37:$AA$37</c:f>
              <c:numCache>
                <c:formatCode>#,##0_);\(#,##0\);"--"</c:formatCode>
                <c:ptCount val="24"/>
                <c:pt idx="0">
                  <c:v>-50850</c:v>
                </c:pt>
                <c:pt idx="1">
                  <c:v>-48695.199999999997</c:v>
                </c:pt>
                <c:pt idx="2">
                  <c:v>-48615.4</c:v>
                </c:pt>
                <c:pt idx="3">
                  <c:v>-48535.599999999991</c:v>
                </c:pt>
                <c:pt idx="4">
                  <c:v>-46181.600000000006</c:v>
                </c:pt>
                <c:pt idx="5">
                  <c:v>-46052</c:v>
                </c:pt>
                <c:pt idx="6">
                  <c:v>-45355.200000000012</c:v>
                </c:pt>
                <c:pt idx="7">
                  <c:v>-42761.599999999999</c:v>
                </c:pt>
                <c:pt idx="8">
                  <c:v>-42570.400000000001</c:v>
                </c:pt>
                <c:pt idx="9">
                  <c:v>-42379.200000000012</c:v>
                </c:pt>
                <c:pt idx="10">
                  <c:v>-39584</c:v>
                </c:pt>
                <c:pt idx="11">
                  <c:v>-39342.400000000001</c:v>
                </c:pt>
                <c:pt idx="12">
                  <c:v>28929.90000000002</c:v>
                </c:pt>
                <c:pt idx="13">
                  <c:v>34887</c:v>
                </c:pt>
                <c:pt idx="14">
                  <c:v>36279.75</c:v>
                </c:pt>
                <c:pt idx="15">
                  <c:v>37672.5</c:v>
                </c:pt>
                <c:pt idx="16">
                  <c:v>43969.799999999996</c:v>
                </c:pt>
                <c:pt idx="17">
                  <c:v>45447.599999999991</c:v>
                </c:pt>
                <c:pt idx="18">
                  <c:v>47559</c:v>
                </c:pt>
                <c:pt idx="19">
                  <c:v>54234.000000000022</c:v>
                </c:pt>
                <c:pt idx="20">
                  <c:v>55807.5</c:v>
                </c:pt>
                <c:pt idx="21">
                  <c:v>57380.999999999978</c:v>
                </c:pt>
                <c:pt idx="22">
                  <c:v>64398</c:v>
                </c:pt>
                <c:pt idx="23">
                  <c:v>66057</c:v>
                </c:pt>
              </c:numCache>
            </c:numRef>
          </c:val>
          <c:smooth val="0"/>
          <c:extLst>
            <c:ext xmlns:c16="http://schemas.microsoft.com/office/drawing/2014/chart" uri="{C3380CC4-5D6E-409C-BE32-E72D297353CC}">
              <c16:uniqueId val="{00000000-3360-47D1-9223-095988CA7907}"/>
            </c:ext>
          </c:extLst>
        </c:ser>
        <c:dLbls>
          <c:showLegendKey val="0"/>
          <c:showVal val="0"/>
          <c:showCatName val="0"/>
          <c:showSerName val="0"/>
          <c:showPercent val="0"/>
          <c:showBubbleSize val="0"/>
        </c:dLbls>
        <c:marker val="1"/>
        <c:smooth val="0"/>
        <c:axId val="1335355376"/>
        <c:axId val="1548581712"/>
      </c:lineChart>
      <c:catAx>
        <c:axId val="1335355376"/>
        <c:scaling>
          <c:orientation val="minMax"/>
        </c:scaling>
        <c:delete val="1"/>
        <c:axPos val="b"/>
        <c:majorTickMark val="none"/>
        <c:minorTickMark val="none"/>
        <c:tickLblPos val="nextTo"/>
        <c:crossAx val="1548581712"/>
        <c:crosses val="autoZero"/>
        <c:auto val="1"/>
        <c:lblAlgn val="ctr"/>
        <c:lblOffset val="100"/>
        <c:noMultiLvlLbl val="0"/>
      </c:catAx>
      <c:valAx>
        <c:axId val="1548581712"/>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535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10886</xdr:colOff>
      <xdr:row>81</xdr:row>
      <xdr:rowOff>97970</xdr:rowOff>
    </xdr:from>
    <xdr:to>
      <xdr:col>10</xdr:col>
      <xdr:colOff>254726</xdr:colOff>
      <xdr:row>95</xdr:row>
      <xdr:rowOff>0</xdr:rowOff>
    </xdr:to>
    <xdr:graphicFrame macro="">
      <xdr:nvGraphicFramePr>
        <xdr:cNvPr id="2" name="Chart 1">
          <a:extLst>
            <a:ext uri="{FF2B5EF4-FFF2-40B4-BE49-F238E27FC236}">
              <a16:creationId xmlns:a16="http://schemas.microsoft.com/office/drawing/2014/main" id="{722F7C3C-0507-D529-6125-5DD1A5DF2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409303</xdr:colOff>
      <xdr:row>81</xdr:row>
      <xdr:rowOff>97970</xdr:rowOff>
    </xdr:from>
    <xdr:to>
      <xdr:col>18</xdr:col>
      <xdr:colOff>522514</xdr:colOff>
      <xdr:row>95</xdr:row>
      <xdr:rowOff>-1</xdr:rowOff>
    </xdr:to>
    <xdr:graphicFrame macro="">
      <xdr:nvGraphicFramePr>
        <xdr:cNvPr id="3" name="Chart 2">
          <a:extLst>
            <a:ext uri="{FF2B5EF4-FFF2-40B4-BE49-F238E27FC236}">
              <a16:creationId xmlns:a16="http://schemas.microsoft.com/office/drawing/2014/main" id="{87D8582A-CFCE-0F2B-57E1-A298CCCB3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718457</xdr:colOff>
      <xdr:row>81</xdr:row>
      <xdr:rowOff>87085</xdr:rowOff>
    </xdr:from>
    <xdr:to>
      <xdr:col>27</xdr:col>
      <xdr:colOff>0</xdr:colOff>
      <xdr:row>95</xdr:row>
      <xdr:rowOff>-1</xdr:rowOff>
    </xdr:to>
    <xdr:graphicFrame macro="">
      <xdr:nvGraphicFramePr>
        <xdr:cNvPr id="4" name="Chart 3">
          <a:extLst>
            <a:ext uri="{FF2B5EF4-FFF2-40B4-BE49-F238E27FC236}">
              <a16:creationId xmlns:a16="http://schemas.microsoft.com/office/drawing/2014/main" id="{E7666DDC-2DB6-5A62-0DC2-B84A23F3F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10886</xdr:colOff>
      <xdr:row>100</xdr:row>
      <xdr:rowOff>21770</xdr:rowOff>
    </xdr:from>
    <xdr:to>
      <xdr:col>10</xdr:col>
      <xdr:colOff>163286</xdr:colOff>
      <xdr:row>116</xdr:row>
      <xdr:rowOff>174170</xdr:rowOff>
    </xdr:to>
    <xdr:graphicFrame macro="">
      <xdr:nvGraphicFramePr>
        <xdr:cNvPr id="7" name="Chart 6">
          <a:extLst>
            <a:ext uri="{FF2B5EF4-FFF2-40B4-BE49-F238E27FC236}">
              <a16:creationId xmlns:a16="http://schemas.microsoft.com/office/drawing/2014/main" id="{E675BFE2-A615-9816-6426-AADBE92E5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500743</xdr:colOff>
      <xdr:row>100</xdr:row>
      <xdr:rowOff>21772</xdr:rowOff>
    </xdr:from>
    <xdr:to>
      <xdr:col>18</xdr:col>
      <xdr:colOff>522514</xdr:colOff>
      <xdr:row>117</xdr:row>
      <xdr:rowOff>10886</xdr:rowOff>
    </xdr:to>
    <xdr:graphicFrame macro="">
      <xdr:nvGraphicFramePr>
        <xdr:cNvPr id="8" name="Chart 7">
          <a:extLst>
            <a:ext uri="{FF2B5EF4-FFF2-40B4-BE49-F238E27FC236}">
              <a16:creationId xmlns:a16="http://schemas.microsoft.com/office/drawing/2014/main" id="{0BCD0B2C-159B-32A3-56AE-29618F5F2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718457</xdr:colOff>
      <xdr:row>100</xdr:row>
      <xdr:rowOff>21772</xdr:rowOff>
    </xdr:from>
    <xdr:to>
      <xdr:col>27</xdr:col>
      <xdr:colOff>0</xdr:colOff>
      <xdr:row>117</xdr:row>
      <xdr:rowOff>0</xdr:rowOff>
    </xdr:to>
    <xdr:graphicFrame macro="">
      <xdr:nvGraphicFramePr>
        <xdr:cNvPr id="9" name="Chart 8">
          <a:extLst>
            <a:ext uri="{FF2B5EF4-FFF2-40B4-BE49-F238E27FC236}">
              <a16:creationId xmlns:a16="http://schemas.microsoft.com/office/drawing/2014/main" id="{6A5ADF26-898C-FDD1-ACB3-30A02D993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2449285</xdr:colOff>
      <xdr:row>57</xdr:row>
      <xdr:rowOff>174170</xdr:rowOff>
    </xdr:from>
    <xdr:to>
      <xdr:col>15</xdr:col>
      <xdr:colOff>0</xdr:colOff>
      <xdr:row>73</xdr:row>
      <xdr:rowOff>174170</xdr:rowOff>
    </xdr:to>
    <xdr:graphicFrame macro="">
      <xdr:nvGraphicFramePr>
        <xdr:cNvPr id="3" name="Chart 2">
          <a:extLst>
            <a:ext uri="{FF2B5EF4-FFF2-40B4-BE49-F238E27FC236}">
              <a16:creationId xmlns:a16="http://schemas.microsoft.com/office/drawing/2014/main" id="{415F06BB-A42D-48A2-846A-15898A675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867834</xdr:colOff>
      <xdr:row>57</xdr:row>
      <xdr:rowOff>174170</xdr:rowOff>
    </xdr:from>
    <xdr:to>
      <xdr:col>26</xdr:col>
      <xdr:colOff>878416</xdr:colOff>
      <xdr:row>73</xdr:row>
      <xdr:rowOff>174170</xdr:rowOff>
    </xdr:to>
    <xdr:graphicFrame macro="">
      <xdr:nvGraphicFramePr>
        <xdr:cNvPr id="5" name="Chart 4">
          <a:extLst>
            <a:ext uri="{FF2B5EF4-FFF2-40B4-BE49-F238E27FC236}">
              <a16:creationId xmlns:a16="http://schemas.microsoft.com/office/drawing/2014/main" id="{9F14CFA9-B165-4E2B-A31C-58B2227FA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2449285</xdr:colOff>
      <xdr:row>77</xdr:row>
      <xdr:rowOff>0</xdr:rowOff>
    </xdr:from>
    <xdr:to>
      <xdr:col>14</xdr:col>
      <xdr:colOff>740228</xdr:colOff>
      <xdr:row>93</xdr:row>
      <xdr:rowOff>0</xdr:rowOff>
    </xdr:to>
    <xdr:graphicFrame macro="">
      <xdr:nvGraphicFramePr>
        <xdr:cNvPr id="7" name="Chart 6">
          <a:extLst>
            <a:ext uri="{FF2B5EF4-FFF2-40B4-BE49-F238E27FC236}">
              <a16:creationId xmlns:a16="http://schemas.microsoft.com/office/drawing/2014/main" id="{D42C793B-15F6-4746-A8D2-53056C5B4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2449285</xdr:colOff>
      <xdr:row>95</xdr:row>
      <xdr:rowOff>174170</xdr:rowOff>
    </xdr:from>
    <xdr:to>
      <xdr:col>14</xdr:col>
      <xdr:colOff>740228</xdr:colOff>
      <xdr:row>115</xdr:row>
      <xdr:rowOff>174170</xdr:rowOff>
    </xdr:to>
    <xdr:graphicFrame macro="">
      <xdr:nvGraphicFramePr>
        <xdr:cNvPr id="11" name="Chart 10">
          <a:extLst>
            <a:ext uri="{FF2B5EF4-FFF2-40B4-BE49-F238E27FC236}">
              <a16:creationId xmlns:a16="http://schemas.microsoft.com/office/drawing/2014/main" id="{C53FB620-308A-47D1-8FBD-930D5F991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96</xdr:row>
      <xdr:rowOff>-1</xdr:rowOff>
    </xdr:from>
    <xdr:to>
      <xdr:col>27</xdr:col>
      <xdr:colOff>-1</xdr:colOff>
      <xdr:row>115</xdr:row>
      <xdr:rowOff>174170</xdr:rowOff>
    </xdr:to>
    <xdr:graphicFrame macro="">
      <xdr:nvGraphicFramePr>
        <xdr:cNvPr id="13" name="Chart 12">
          <a:extLst>
            <a:ext uri="{FF2B5EF4-FFF2-40B4-BE49-F238E27FC236}">
              <a16:creationId xmlns:a16="http://schemas.microsoft.com/office/drawing/2014/main" id="{3BB254B4-D7E6-4E0D-A6F1-1B68CD120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740228</xdr:colOff>
      <xdr:row>77</xdr:row>
      <xdr:rowOff>0</xdr:rowOff>
    </xdr:from>
    <xdr:to>
      <xdr:col>27</xdr:col>
      <xdr:colOff>10583</xdr:colOff>
      <xdr:row>93</xdr:row>
      <xdr:rowOff>0</xdr:rowOff>
    </xdr:to>
    <xdr:graphicFrame macro="">
      <xdr:nvGraphicFramePr>
        <xdr:cNvPr id="4" name="Chart 3">
          <a:extLst>
            <a:ext uri="{FF2B5EF4-FFF2-40B4-BE49-F238E27FC236}">
              <a16:creationId xmlns:a16="http://schemas.microsoft.com/office/drawing/2014/main" id="{CC6D1D07-EC96-4C5F-84C7-70F7B5BA6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41</xdr:row>
      <xdr:rowOff>0</xdr:rowOff>
    </xdr:from>
    <xdr:to>
      <xdr:col>27</xdr:col>
      <xdr:colOff>0</xdr:colOff>
      <xdr:row>58</xdr:row>
      <xdr:rowOff>0</xdr:rowOff>
    </xdr:to>
    <xdr:graphicFrame macro="">
      <xdr:nvGraphicFramePr>
        <xdr:cNvPr id="3" name="Chart 2">
          <a:extLst>
            <a:ext uri="{FF2B5EF4-FFF2-40B4-BE49-F238E27FC236}">
              <a16:creationId xmlns:a16="http://schemas.microsoft.com/office/drawing/2014/main" id="{057AD9AC-5524-EB12-75E3-37505798E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2449285</xdr:colOff>
      <xdr:row>62</xdr:row>
      <xdr:rowOff>0</xdr:rowOff>
    </xdr:from>
    <xdr:to>
      <xdr:col>27</xdr:col>
      <xdr:colOff>0</xdr:colOff>
      <xdr:row>79</xdr:row>
      <xdr:rowOff>0</xdr:rowOff>
    </xdr:to>
    <xdr:graphicFrame macro="">
      <xdr:nvGraphicFramePr>
        <xdr:cNvPr id="4" name="Chart 3">
          <a:extLst>
            <a:ext uri="{FF2B5EF4-FFF2-40B4-BE49-F238E27FC236}">
              <a16:creationId xmlns:a16="http://schemas.microsoft.com/office/drawing/2014/main" id="{39BECB45-4249-29CC-D3B2-D18BC4AFB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2449284</xdr:colOff>
      <xdr:row>83</xdr:row>
      <xdr:rowOff>0</xdr:rowOff>
    </xdr:from>
    <xdr:to>
      <xdr:col>27</xdr:col>
      <xdr:colOff>-1</xdr:colOff>
      <xdr:row>100</xdr:row>
      <xdr:rowOff>0</xdr:rowOff>
    </xdr:to>
    <xdr:graphicFrame macro="">
      <xdr:nvGraphicFramePr>
        <xdr:cNvPr id="6" name="Chart 5">
          <a:extLst>
            <a:ext uri="{FF2B5EF4-FFF2-40B4-BE49-F238E27FC236}">
              <a16:creationId xmlns:a16="http://schemas.microsoft.com/office/drawing/2014/main" id="{15BFC538-EA1F-4D7D-960F-04978E559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A118"/>
  <sheetViews>
    <sheetView zoomScale="70" zoomScaleNormal="70" workbookViewId="0">
      <pane xSplit="2" ySplit="6" topLeftCell="C63" activePane="bottomRight" state="frozen"/>
      <selection pane="topRight" activeCell="C1" sqref="C1"/>
      <selection pane="bottomLeft" activeCell="A7" sqref="A7"/>
      <selection pane="bottomRight" activeCell="B131" sqref="B131"/>
    </sheetView>
  </sheetViews>
  <sheetFormatPr defaultColWidth="10.77734375" defaultRowHeight="13.8" x14ac:dyDescent="0.25"/>
  <cols>
    <col min="1" max="1" width="2" style="2" customWidth="1"/>
    <col min="2" max="2" width="35.77734375" style="2" customWidth="1"/>
    <col min="3" max="3" width="8.88671875" style="2" customWidth="1"/>
    <col min="4" max="16384" width="10.77734375" style="2"/>
  </cols>
  <sheetData>
    <row r="1" spans="2:27" ht="14.4" customHeight="1" x14ac:dyDescent="0.25">
      <c r="B1" s="98" t="s">
        <v>41</v>
      </c>
      <c r="C1" s="98"/>
      <c r="D1" s="99" t="s">
        <v>43</v>
      </c>
      <c r="E1" s="99"/>
      <c r="F1" s="99"/>
      <c r="G1" s="99"/>
      <c r="H1" s="99"/>
      <c r="I1" s="99"/>
      <c r="J1" s="99"/>
      <c r="K1" s="99"/>
      <c r="L1" s="99"/>
      <c r="M1" s="99"/>
      <c r="N1" s="99"/>
      <c r="O1" s="99"/>
      <c r="P1" s="99"/>
      <c r="Q1" s="99"/>
      <c r="R1" s="99"/>
      <c r="S1" s="99"/>
      <c r="T1" s="99"/>
      <c r="U1" s="99"/>
      <c r="V1" s="99"/>
      <c r="W1" s="99"/>
      <c r="X1" s="99"/>
      <c r="Y1" s="99"/>
      <c r="Z1" s="99"/>
      <c r="AA1" s="99"/>
    </row>
    <row r="2" spans="2:27" ht="13.8" customHeight="1" x14ac:dyDescent="0.25">
      <c r="B2" s="98"/>
      <c r="C2" s="98"/>
      <c r="D2" s="99"/>
      <c r="E2" s="99"/>
      <c r="F2" s="99"/>
      <c r="G2" s="99"/>
      <c r="H2" s="99"/>
      <c r="I2" s="99"/>
      <c r="J2" s="99"/>
      <c r="K2" s="99"/>
      <c r="L2" s="99"/>
      <c r="M2" s="99"/>
      <c r="N2" s="99"/>
      <c r="O2" s="99"/>
      <c r="P2" s="99"/>
      <c r="Q2" s="99"/>
      <c r="R2" s="99"/>
      <c r="S2" s="99"/>
      <c r="T2" s="99"/>
      <c r="U2" s="99"/>
      <c r="V2" s="99"/>
      <c r="W2" s="99"/>
      <c r="X2" s="99"/>
      <c r="Y2" s="99"/>
      <c r="Z2" s="99"/>
      <c r="AA2" s="99"/>
    </row>
    <row r="3" spans="2:27" ht="13.8" customHeight="1" x14ac:dyDescent="0.25">
      <c r="B3" s="98"/>
      <c r="C3" s="98"/>
      <c r="D3" s="99"/>
      <c r="E3" s="99"/>
      <c r="F3" s="99"/>
      <c r="G3" s="99"/>
      <c r="H3" s="99"/>
      <c r="I3" s="99"/>
      <c r="J3" s="99"/>
      <c r="K3" s="99"/>
      <c r="L3" s="99"/>
      <c r="M3" s="99"/>
      <c r="N3" s="99"/>
      <c r="O3" s="99"/>
      <c r="P3" s="99"/>
      <c r="Q3" s="99"/>
      <c r="R3" s="99"/>
      <c r="S3" s="99"/>
      <c r="T3" s="99"/>
      <c r="U3" s="99"/>
      <c r="V3" s="99"/>
      <c r="W3" s="99"/>
      <c r="X3" s="99"/>
      <c r="Y3" s="99"/>
      <c r="Z3" s="99"/>
      <c r="AA3" s="99"/>
    </row>
    <row r="4" spans="2:27" ht="13.8" customHeight="1" x14ac:dyDescent="0.25">
      <c r="B4" s="98"/>
      <c r="C4" s="98"/>
      <c r="D4" s="4">
        <v>46048</v>
      </c>
      <c r="E4" s="4">
        <f>EDATE(D4,1)</f>
        <v>46079</v>
      </c>
      <c r="F4" s="4">
        <f t="shared" ref="F4:O4" si="0">EDATE(E4,1)</f>
        <v>46107</v>
      </c>
      <c r="G4" s="4">
        <f t="shared" si="0"/>
        <v>46138</v>
      </c>
      <c r="H4" s="4">
        <f t="shared" si="0"/>
        <v>46168</v>
      </c>
      <c r="I4" s="4">
        <f t="shared" si="0"/>
        <v>46199</v>
      </c>
      <c r="J4" s="4">
        <f t="shared" si="0"/>
        <v>46229</v>
      </c>
      <c r="K4" s="4">
        <f t="shared" si="0"/>
        <v>46260</v>
      </c>
      <c r="L4" s="4">
        <f t="shared" si="0"/>
        <v>46291</v>
      </c>
      <c r="M4" s="4">
        <f t="shared" si="0"/>
        <v>46321</v>
      </c>
      <c r="N4" s="4">
        <f t="shared" si="0"/>
        <v>46352</v>
      </c>
      <c r="O4" s="4">
        <f t="shared" si="0"/>
        <v>46382</v>
      </c>
      <c r="P4" s="4">
        <f t="shared" ref="P4" si="1">EDATE(O4,1)</f>
        <v>46413</v>
      </c>
      <c r="Q4" s="4">
        <f t="shared" ref="Q4" si="2">EDATE(P4,1)</f>
        <v>46444</v>
      </c>
      <c r="R4" s="4">
        <f t="shared" ref="R4" si="3">EDATE(Q4,1)</f>
        <v>46472</v>
      </c>
      <c r="S4" s="4">
        <f t="shared" ref="S4" si="4">EDATE(R4,1)</f>
        <v>46503</v>
      </c>
      <c r="T4" s="4">
        <f t="shared" ref="T4" si="5">EDATE(S4,1)</f>
        <v>46533</v>
      </c>
      <c r="U4" s="4">
        <f t="shared" ref="U4" si="6">EDATE(T4,1)</f>
        <v>46564</v>
      </c>
      <c r="V4" s="4">
        <f t="shared" ref="V4" si="7">EDATE(U4,1)</f>
        <v>46594</v>
      </c>
      <c r="W4" s="4">
        <f t="shared" ref="W4" si="8">EDATE(V4,1)</f>
        <v>46625</v>
      </c>
      <c r="X4" s="4">
        <f t="shared" ref="X4" si="9">EDATE(W4,1)</f>
        <v>46656</v>
      </c>
      <c r="Y4" s="4">
        <f t="shared" ref="Y4" si="10">EDATE(X4,1)</f>
        <v>46686</v>
      </c>
      <c r="Z4" s="4">
        <f t="shared" ref="Z4" si="11">EDATE(Y4,1)</f>
        <v>46717</v>
      </c>
      <c r="AA4" s="4">
        <f t="shared" ref="AA4" si="12">EDATE(Z4,1)</f>
        <v>46747</v>
      </c>
    </row>
    <row r="5" spans="2:27" x14ac:dyDescent="0.25">
      <c r="B5" s="5" t="s">
        <v>0</v>
      </c>
      <c r="C5" s="19" t="s">
        <v>40</v>
      </c>
      <c r="D5" s="6" t="s">
        <v>1</v>
      </c>
      <c r="E5" s="6" t="s">
        <v>2</v>
      </c>
      <c r="F5" s="6" t="s">
        <v>3</v>
      </c>
      <c r="G5" s="6" t="s">
        <v>4</v>
      </c>
      <c r="H5" s="6" t="s">
        <v>5</v>
      </c>
      <c r="I5" s="6" t="s">
        <v>6</v>
      </c>
      <c r="J5" s="6" t="s">
        <v>7</v>
      </c>
      <c r="K5" s="6" t="s">
        <v>8</v>
      </c>
      <c r="L5" s="6" t="s">
        <v>9</v>
      </c>
      <c r="M5" s="6" t="s">
        <v>10</v>
      </c>
      <c r="N5" s="6" t="s">
        <v>11</v>
      </c>
      <c r="O5" s="6" t="s">
        <v>12</v>
      </c>
      <c r="P5" s="6" t="s">
        <v>66</v>
      </c>
      <c r="Q5" s="6" t="s">
        <v>67</v>
      </c>
      <c r="R5" s="6" t="s">
        <v>68</v>
      </c>
      <c r="S5" s="6" t="s">
        <v>69</v>
      </c>
      <c r="T5" s="6" t="s">
        <v>70</v>
      </c>
      <c r="U5" s="6" t="s">
        <v>71</v>
      </c>
      <c r="V5" s="6" t="s">
        <v>72</v>
      </c>
      <c r="W5" s="6" t="s">
        <v>73</v>
      </c>
      <c r="X5" s="6" t="s">
        <v>74</v>
      </c>
      <c r="Y5" s="6" t="s">
        <v>75</v>
      </c>
      <c r="Z5" s="6" t="s">
        <v>76</v>
      </c>
      <c r="AA5" s="6" t="s">
        <v>77</v>
      </c>
    </row>
    <row r="6" spans="2:27" x14ac:dyDescent="0.25">
      <c r="B6" s="7" t="s">
        <v>13</v>
      </c>
      <c r="C6" s="3"/>
      <c r="D6" s="100" t="s">
        <v>37</v>
      </c>
      <c r="E6" s="100"/>
      <c r="F6" s="100"/>
      <c r="G6" s="100"/>
      <c r="H6" s="100"/>
      <c r="I6" s="100"/>
      <c r="J6" s="100"/>
      <c r="K6" s="100"/>
      <c r="L6" s="100"/>
      <c r="M6" s="100"/>
      <c r="N6" s="100"/>
      <c r="O6" s="100"/>
      <c r="P6" s="100"/>
      <c r="Q6" s="100"/>
      <c r="R6" s="100"/>
      <c r="S6" s="100"/>
      <c r="T6" s="100"/>
      <c r="U6" s="100"/>
      <c r="V6" s="100"/>
      <c r="W6" s="100"/>
      <c r="X6" s="100"/>
      <c r="Y6" s="100"/>
      <c r="Z6" s="100"/>
      <c r="AA6" s="100"/>
    </row>
    <row r="7" spans="2:27" ht="7.05" customHeight="1" x14ac:dyDescent="0.25"/>
    <row r="8" spans="2:27" x14ac:dyDescent="0.25">
      <c r="B8" s="10" t="s">
        <v>14</v>
      </c>
      <c r="C8" s="11"/>
      <c r="D8" s="11"/>
      <c r="E8" s="11"/>
      <c r="F8" s="11"/>
      <c r="G8" s="11"/>
      <c r="H8" s="11"/>
      <c r="I8" s="11"/>
      <c r="J8" s="11"/>
      <c r="K8" s="11"/>
      <c r="L8" s="11"/>
      <c r="M8" s="11"/>
      <c r="N8" s="11"/>
      <c r="O8" s="16"/>
      <c r="P8" s="11"/>
      <c r="Q8" s="11"/>
      <c r="R8" s="11"/>
      <c r="S8" s="11"/>
      <c r="T8" s="11"/>
      <c r="U8" s="11"/>
      <c r="V8" s="11"/>
      <c r="W8" s="11"/>
      <c r="X8" s="11"/>
      <c r="Y8" s="11"/>
      <c r="Z8" s="11"/>
      <c r="AA8" s="16"/>
    </row>
    <row r="9" spans="2:27" x14ac:dyDescent="0.25">
      <c r="B9" s="9" t="s">
        <v>15</v>
      </c>
      <c r="C9" s="29" t="s">
        <v>44</v>
      </c>
      <c r="D9" s="42">
        <v>20000</v>
      </c>
      <c r="E9" s="11">
        <f>D$9+500</f>
        <v>20500</v>
      </c>
      <c r="F9" s="11">
        <f t="shared" ref="F9:O9" si="13">E$9+500</f>
        <v>21000</v>
      </c>
      <c r="G9" s="11">
        <f t="shared" si="13"/>
        <v>21500</v>
      </c>
      <c r="H9" s="11">
        <f t="shared" si="13"/>
        <v>22000</v>
      </c>
      <c r="I9" s="11">
        <f t="shared" si="13"/>
        <v>22500</v>
      </c>
      <c r="J9" s="11">
        <f t="shared" si="13"/>
        <v>23000</v>
      </c>
      <c r="K9" s="11">
        <f t="shared" si="13"/>
        <v>23500</v>
      </c>
      <c r="L9" s="11">
        <f t="shared" si="13"/>
        <v>24000</v>
      </c>
      <c r="M9" s="11">
        <f t="shared" si="13"/>
        <v>24500</v>
      </c>
      <c r="N9" s="11">
        <f t="shared" si="13"/>
        <v>25000</v>
      </c>
      <c r="O9" s="11">
        <f t="shared" si="13"/>
        <v>25500</v>
      </c>
      <c r="P9" s="11">
        <f t="shared" ref="P9:AA9" si="14">O$9+500</f>
        <v>26000</v>
      </c>
      <c r="Q9" s="11">
        <f t="shared" si="14"/>
        <v>26500</v>
      </c>
      <c r="R9" s="11">
        <f t="shared" si="14"/>
        <v>27000</v>
      </c>
      <c r="S9" s="11">
        <f t="shared" si="14"/>
        <v>27500</v>
      </c>
      <c r="T9" s="11">
        <f t="shared" si="14"/>
        <v>28000</v>
      </c>
      <c r="U9" s="11">
        <f t="shared" si="14"/>
        <v>28500</v>
      </c>
      <c r="V9" s="11">
        <f t="shared" si="14"/>
        <v>29000</v>
      </c>
      <c r="W9" s="11">
        <f t="shared" si="14"/>
        <v>29500</v>
      </c>
      <c r="X9" s="11">
        <f t="shared" si="14"/>
        <v>30000</v>
      </c>
      <c r="Y9" s="11">
        <f t="shared" si="14"/>
        <v>30500</v>
      </c>
      <c r="Z9" s="11">
        <f t="shared" si="14"/>
        <v>31000</v>
      </c>
      <c r="AA9" s="16">
        <f t="shared" si="14"/>
        <v>31500</v>
      </c>
    </row>
    <row r="10" spans="2:27" x14ac:dyDescent="0.25">
      <c r="B10" s="12" t="s">
        <v>16</v>
      </c>
      <c r="C10" s="29" t="s">
        <v>44</v>
      </c>
      <c r="D10" s="43">
        <v>5000</v>
      </c>
      <c r="E10" s="13">
        <f>D$10+100</f>
        <v>5100</v>
      </c>
      <c r="F10" s="13">
        <f t="shared" ref="F10:AA10" si="15">E$10+100</f>
        <v>5200</v>
      </c>
      <c r="G10" s="13">
        <f t="shared" si="15"/>
        <v>5300</v>
      </c>
      <c r="H10" s="13">
        <f t="shared" si="15"/>
        <v>5400</v>
      </c>
      <c r="I10" s="13">
        <f t="shared" si="15"/>
        <v>5500</v>
      </c>
      <c r="J10" s="13">
        <f t="shared" si="15"/>
        <v>5600</v>
      </c>
      <c r="K10" s="13">
        <f t="shared" si="15"/>
        <v>5700</v>
      </c>
      <c r="L10" s="13">
        <f t="shared" si="15"/>
        <v>5800</v>
      </c>
      <c r="M10" s="13">
        <f t="shared" si="15"/>
        <v>5900</v>
      </c>
      <c r="N10" s="13">
        <f t="shared" si="15"/>
        <v>6000</v>
      </c>
      <c r="O10" s="13">
        <f t="shared" si="15"/>
        <v>6100</v>
      </c>
      <c r="P10" s="13">
        <f t="shared" si="15"/>
        <v>6200</v>
      </c>
      <c r="Q10" s="13">
        <f t="shared" si="15"/>
        <v>6300</v>
      </c>
      <c r="R10" s="13">
        <f t="shared" si="15"/>
        <v>6400</v>
      </c>
      <c r="S10" s="13">
        <f t="shared" si="15"/>
        <v>6500</v>
      </c>
      <c r="T10" s="13">
        <f t="shared" si="15"/>
        <v>6600</v>
      </c>
      <c r="U10" s="13">
        <f t="shared" si="15"/>
        <v>6700</v>
      </c>
      <c r="V10" s="13">
        <f t="shared" si="15"/>
        <v>6800</v>
      </c>
      <c r="W10" s="13">
        <f t="shared" si="15"/>
        <v>6900</v>
      </c>
      <c r="X10" s="13">
        <f t="shared" si="15"/>
        <v>7000</v>
      </c>
      <c r="Y10" s="13">
        <f t="shared" si="15"/>
        <v>7100</v>
      </c>
      <c r="Z10" s="13">
        <f t="shared" si="15"/>
        <v>7200</v>
      </c>
      <c r="AA10" s="13">
        <f t="shared" si="15"/>
        <v>7300</v>
      </c>
    </row>
    <row r="11" spans="2:27" x14ac:dyDescent="0.25">
      <c r="B11" s="14" t="s">
        <v>17</v>
      </c>
      <c r="C11" s="30" t="s">
        <v>44</v>
      </c>
      <c r="D11" s="71">
        <f>SUM(D9:D10)</f>
        <v>25000</v>
      </c>
      <c r="E11" s="71">
        <f t="shared" ref="E11:O11" si="16">SUM(E9:E10)</f>
        <v>25600</v>
      </c>
      <c r="F11" s="71">
        <f t="shared" si="16"/>
        <v>26200</v>
      </c>
      <c r="G11" s="71">
        <f t="shared" si="16"/>
        <v>26800</v>
      </c>
      <c r="H11" s="71">
        <f t="shared" si="16"/>
        <v>27400</v>
      </c>
      <c r="I11" s="71">
        <f t="shared" si="16"/>
        <v>28000</v>
      </c>
      <c r="J11" s="71">
        <f t="shared" si="16"/>
        <v>28600</v>
      </c>
      <c r="K11" s="71">
        <f t="shared" si="16"/>
        <v>29200</v>
      </c>
      <c r="L11" s="71">
        <f t="shared" si="16"/>
        <v>29800</v>
      </c>
      <c r="M11" s="71">
        <f t="shared" si="16"/>
        <v>30400</v>
      </c>
      <c r="N11" s="71">
        <f t="shared" si="16"/>
        <v>31000</v>
      </c>
      <c r="O11" s="72">
        <f t="shared" si="16"/>
        <v>31600</v>
      </c>
      <c r="P11" s="72">
        <f t="shared" ref="P11:AA11" si="17">SUM(P9:P10)</f>
        <v>32200</v>
      </c>
      <c r="Q11" s="72">
        <f t="shared" si="17"/>
        <v>32800</v>
      </c>
      <c r="R11" s="72">
        <f t="shared" si="17"/>
        <v>33400</v>
      </c>
      <c r="S11" s="72">
        <f t="shared" si="17"/>
        <v>34000</v>
      </c>
      <c r="T11" s="72">
        <f t="shared" si="17"/>
        <v>34600</v>
      </c>
      <c r="U11" s="72">
        <f t="shared" si="17"/>
        <v>35200</v>
      </c>
      <c r="V11" s="72">
        <f t="shared" si="17"/>
        <v>35800</v>
      </c>
      <c r="W11" s="72">
        <f t="shared" si="17"/>
        <v>36400</v>
      </c>
      <c r="X11" s="72">
        <f t="shared" si="17"/>
        <v>37000</v>
      </c>
      <c r="Y11" s="72">
        <f t="shared" si="17"/>
        <v>37600</v>
      </c>
      <c r="Z11" s="72">
        <f t="shared" si="17"/>
        <v>38200</v>
      </c>
      <c r="AA11" s="72">
        <f t="shared" si="17"/>
        <v>38800</v>
      </c>
    </row>
    <row r="12" spans="2:27" ht="7.05" customHeight="1" x14ac:dyDescent="0.25">
      <c r="B12" s="8"/>
      <c r="C12" s="11"/>
      <c r="D12" s="11"/>
      <c r="E12" s="11"/>
      <c r="F12" s="11"/>
      <c r="G12" s="11"/>
      <c r="H12" s="11"/>
      <c r="I12" s="11"/>
      <c r="J12" s="11"/>
      <c r="K12" s="11"/>
      <c r="L12" s="11"/>
      <c r="M12" s="11"/>
      <c r="N12" s="11"/>
      <c r="O12" s="16"/>
      <c r="P12" s="11"/>
      <c r="Q12" s="11"/>
      <c r="R12" s="11"/>
      <c r="S12" s="11"/>
      <c r="T12" s="11"/>
      <c r="U12" s="11"/>
      <c r="V12" s="11"/>
      <c r="W12" s="11"/>
      <c r="X12" s="11"/>
      <c r="Y12" s="11"/>
      <c r="Z12" s="11"/>
      <c r="AA12" s="16"/>
    </row>
    <row r="13" spans="2:27" x14ac:dyDescent="0.25">
      <c r="B13" s="10" t="s">
        <v>18</v>
      </c>
      <c r="C13" s="11"/>
      <c r="D13" s="11"/>
      <c r="E13" s="11"/>
      <c r="F13" s="11"/>
      <c r="G13" s="11"/>
      <c r="H13" s="11"/>
      <c r="I13" s="11"/>
      <c r="J13" s="11"/>
      <c r="K13" s="11"/>
      <c r="L13" s="11"/>
      <c r="M13" s="11"/>
      <c r="N13" s="11"/>
      <c r="O13" s="16"/>
      <c r="P13" s="11"/>
      <c r="Q13" s="11"/>
      <c r="R13" s="11"/>
      <c r="S13" s="11"/>
      <c r="T13" s="11"/>
      <c r="U13" s="11"/>
      <c r="V13" s="11"/>
      <c r="W13" s="11"/>
      <c r="X13" s="11"/>
      <c r="Y13" s="11"/>
      <c r="Z13" s="11"/>
      <c r="AA13" s="16"/>
    </row>
    <row r="14" spans="2:27" x14ac:dyDescent="0.25">
      <c r="B14" s="9" t="s">
        <v>15</v>
      </c>
      <c r="C14" s="29" t="s">
        <v>45</v>
      </c>
      <c r="D14" s="36">
        <v>0.03</v>
      </c>
      <c r="E14" s="36">
        <v>3.1E-2</v>
      </c>
      <c r="F14" s="36">
        <v>3.1E-2</v>
      </c>
      <c r="G14" s="36">
        <v>3.1E-2</v>
      </c>
      <c r="H14" s="36">
        <v>3.2000000000000001E-2</v>
      </c>
      <c r="I14" s="36">
        <v>3.2000000000000001E-2</v>
      </c>
      <c r="J14" s="36">
        <v>3.2000000000000001E-2</v>
      </c>
      <c r="K14" s="36">
        <v>3.3000000000000002E-2</v>
      </c>
      <c r="L14" s="36">
        <v>3.3000000000000002E-2</v>
      </c>
      <c r="M14" s="36">
        <v>3.3000000000000002E-2</v>
      </c>
      <c r="N14" s="36">
        <v>3.4000000000000002E-2</v>
      </c>
      <c r="O14" s="40">
        <v>3.4000000000000002E-2</v>
      </c>
      <c r="P14" s="36">
        <v>3.4000000000000002E-2</v>
      </c>
      <c r="Q14" s="36">
        <v>3.5000000000000003E-2</v>
      </c>
      <c r="R14" s="36">
        <v>3.5000000000000003E-2</v>
      </c>
      <c r="S14" s="36">
        <v>3.5000000000000003E-2</v>
      </c>
      <c r="T14" s="36">
        <v>3.5999999999999997E-2</v>
      </c>
      <c r="U14" s="36">
        <v>3.5999999999999997E-2</v>
      </c>
      <c r="V14" s="36">
        <v>3.5999999999999997E-2</v>
      </c>
      <c r="W14" s="36">
        <v>3.6999999999999998E-2</v>
      </c>
      <c r="X14" s="36">
        <v>3.6999999999999998E-2</v>
      </c>
      <c r="Y14" s="36">
        <v>3.6999999999999998E-2</v>
      </c>
      <c r="Z14" s="36">
        <v>3.7999999999999999E-2</v>
      </c>
      <c r="AA14" s="40">
        <v>3.7999999999999999E-2</v>
      </c>
    </row>
    <row r="15" spans="2:27" x14ac:dyDescent="0.25">
      <c r="B15" s="12" t="s">
        <v>16</v>
      </c>
      <c r="C15" s="31" t="s">
        <v>45</v>
      </c>
      <c r="D15" s="38">
        <v>0.02</v>
      </c>
      <c r="E15" s="38">
        <v>2.1000000000000001E-2</v>
      </c>
      <c r="F15" s="38">
        <v>2.1000000000000001E-2</v>
      </c>
      <c r="G15" s="38">
        <v>2.1000000000000001E-2</v>
      </c>
      <c r="H15" s="38">
        <v>2.1999999999999999E-2</v>
      </c>
      <c r="I15" s="38">
        <v>2.1999999999999999E-2</v>
      </c>
      <c r="J15" s="38">
        <v>2.1999999999999999E-2</v>
      </c>
      <c r="K15" s="38">
        <v>2.3E-2</v>
      </c>
      <c r="L15" s="38">
        <v>2.3E-2</v>
      </c>
      <c r="M15" s="38">
        <v>2.3E-2</v>
      </c>
      <c r="N15" s="38">
        <v>2.4E-2</v>
      </c>
      <c r="O15" s="41">
        <v>2.4E-2</v>
      </c>
      <c r="P15" s="38">
        <v>2.4E-2</v>
      </c>
      <c r="Q15" s="38">
        <v>2.5000000000000001E-2</v>
      </c>
      <c r="R15" s="38">
        <v>2.5000000000000001E-2</v>
      </c>
      <c r="S15" s="38">
        <v>2.5000000000000001E-2</v>
      </c>
      <c r="T15" s="38">
        <v>2.5999999999999999E-2</v>
      </c>
      <c r="U15" s="38">
        <v>2.5999999999999999E-2</v>
      </c>
      <c r="V15" s="38">
        <v>2.5999999999999999E-2</v>
      </c>
      <c r="W15" s="38">
        <v>2.7E-2</v>
      </c>
      <c r="X15" s="38">
        <v>2.7E-2</v>
      </c>
      <c r="Y15" s="38">
        <v>2.7E-2</v>
      </c>
      <c r="Z15" s="38">
        <v>2.8000000000000001E-2</v>
      </c>
      <c r="AA15" s="41">
        <v>2.8000000000000001E-2</v>
      </c>
    </row>
    <row r="16" spans="2:27" x14ac:dyDescent="0.25">
      <c r="B16" s="14" t="s">
        <v>19</v>
      </c>
      <c r="C16" s="30" t="s">
        <v>45</v>
      </c>
      <c r="D16" s="82">
        <f>AVERAGE(D14,D15)</f>
        <v>2.5000000000000001E-2</v>
      </c>
      <c r="E16" s="82">
        <f t="shared" ref="E16:AA16" si="18">AVERAGE(E14,E15)</f>
        <v>2.6000000000000002E-2</v>
      </c>
      <c r="F16" s="82">
        <f t="shared" si="18"/>
        <v>2.6000000000000002E-2</v>
      </c>
      <c r="G16" s="82">
        <f t="shared" si="18"/>
        <v>2.6000000000000002E-2</v>
      </c>
      <c r="H16" s="82">
        <f t="shared" si="18"/>
        <v>2.7E-2</v>
      </c>
      <c r="I16" s="82">
        <f t="shared" si="18"/>
        <v>2.7E-2</v>
      </c>
      <c r="J16" s="82">
        <f t="shared" si="18"/>
        <v>2.7E-2</v>
      </c>
      <c r="K16" s="82">
        <f t="shared" si="18"/>
        <v>2.8000000000000001E-2</v>
      </c>
      <c r="L16" s="82">
        <f t="shared" si="18"/>
        <v>2.8000000000000001E-2</v>
      </c>
      <c r="M16" s="82">
        <f t="shared" si="18"/>
        <v>2.8000000000000001E-2</v>
      </c>
      <c r="N16" s="82">
        <f t="shared" si="18"/>
        <v>2.9000000000000001E-2</v>
      </c>
      <c r="O16" s="83">
        <f t="shared" si="18"/>
        <v>2.9000000000000001E-2</v>
      </c>
      <c r="P16" s="83">
        <f t="shared" si="18"/>
        <v>2.9000000000000001E-2</v>
      </c>
      <c r="Q16" s="83">
        <f t="shared" si="18"/>
        <v>3.0000000000000002E-2</v>
      </c>
      <c r="R16" s="83">
        <f t="shared" si="18"/>
        <v>3.0000000000000002E-2</v>
      </c>
      <c r="S16" s="83">
        <f t="shared" si="18"/>
        <v>3.0000000000000002E-2</v>
      </c>
      <c r="T16" s="83">
        <f t="shared" si="18"/>
        <v>3.1E-2</v>
      </c>
      <c r="U16" s="83">
        <f t="shared" si="18"/>
        <v>3.1E-2</v>
      </c>
      <c r="V16" s="83">
        <f t="shared" si="18"/>
        <v>3.1E-2</v>
      </c>
      <c r="W16" s="83">
        <f t="shared" si="18"/>
        <v>3.2000000000000001E-2</v>
      </c>
      <c r="X16" s="83">
        <f t="shared" si="18"/>
        <v>3.2000000000000001E-2</v>
      </c>
      <c r="Y16" s="83">
        <f t="shared" si="18"/>
        <v>3.2000000000000001E-2</v>
      </c>
      <c r="Z16" s="83">
        <f t="shared" si="18"/>
        <v>3.3000000000000002E-2</v>
      </c>
      <c r="AA16" s="83">
        <f t="shared" si="18"/>
        <v>3.3000000000000002E-2</v>
      </c>
    </row>
    <row r="17" spans="2:27" ht="7.05" customHeight="1" x14ac:dyDescent="0.25">
      <c r="B17" s="8"/>
      <c r="C17" s="11"/>
      <c r="D17" s="11"/>
      <c r="E17" s="11"/>
      <c r="F17" s="11"/>
      <c r="G17" s="11"/>
      <c r="H17" s="11"/>
      <c r="I17" s="11"/>
      <c r="J17" s="11"/>
      <c r="K17" s="11"/>
      <c r="L17" s="11"/>
      <c r="M17" s="11"/>
      <c r="N17" s="11"/>
      <c r="O17" s="16"/>
      <c r="P17" s="11"/>
      <c r="Q17" s="11"/>
      <c r="R17" s="11"/>
      <c r="S17" s="11"/>
      <c r="T17" s="11"/>
      <c r="U17" s="11"/>
      <c r="V17" s="11"/>
      <c r="W17" s="11"/>
      <c r="X17" s="11"/>
      <c r="Y17" s="11"/>
      <c r="Z17" s="11"/>
      <c r="AA17" s="16"/>
    </row>
    <row r="18" spans="2:27" x14ac:dyDescent="0.25">
      <c r="B18" s="10" t="s">
        <v>20</v>
      </c>
      <c r="C18" s="11"/>
      <c r="D18" s="11"/>
      <c r="E18" s="11"/>
      <c r="F18" s="11"/>
      <c r="G18" s="11"/>
      <c r="H18" s="11"/>
      <c r="I18" s="11"/>
      <c r="J18" s="11"/>
      <c r="K18" s="11"/>
      <c r="L18" s="11"/>
      <c r="M18" s="11"/>
      <c r="N18" s="11"/>
      <c r="O18" s="16"/>
      <c r="P18" s="11"/>
      <c r="Q18" s="11"/>
      <c r="R18" s="11"/>
      <c r="S18" s="11"/>
      <c r="T18" s="11"/>
      <c r="U18" s="11"/>
      <c r="V18" s="11"/>
      <c r="W18" s="11"/>
      <c r="X18" s="11"/>
      <c r="Y18" s="11"/>
      <c r="Z18" s="11"/>
      <c r="AA18" s="16"/>
    </row>
    <row r="19" spans="2:27" ht="7.05" customHeight="1" x14ac:dyDescent="0.25">
      <c r="B19" s="8"/>
      <c r="C19" s="11"/>
      <c r="D19" s="11"/>
      <c r="E19" s="11"/>
      <c r="F19" s="11"/>
      <c r="G19" s="11"/>
      <c r="H19" s="11"/>
      <c r="I19" s="11"/>
      <c r="J19" s="11"/>
      <c r="K19" s="11"/>
      <c r="L19" s="11"/>
      <c r="M19" s="11"/>
      <c r="N19" s="11"/>
      <c r="O19" s="16"/>
      <c r="P19" s="11"/>
      <c r="Q19" s="11"/>
      <c r="R19" s="11"/>
      <c r="S19" s="11"/>
      <c r="T19" s="11"/>
      <c r="U19" s="11"/>
      <c r="V19" s="11"/>
      <c r="W19" s="11"/>
      <c r="X19" s="11"/>
      <c r="Y19" s="11"/>
      <c r="Z19" s="11"/>
      <c r="AA19" s="16"/>
    </row>
    <row r="20" spans="2:27" x14ac:dyDescent="0.25">
      <c r="B20" s="9" t="s">
        <v>15</v>
      </c>
      <c r="C20" s="29" t="s">
        <v>44</v>
      </c>
      <c r="D20" s="11">
        <f>D9*D14</f>
        <v>600</v>
      </c>
      <c r="E20" s="11">
        <f t="shared" ref="E20:O20" si="19">E9*E14</f>
        <v>635.5</v>
      </c>
      <c r="F20" s="11">
        <f t="shared" si="19"/>
        <v>651</v>
      </c>
      <c r="G20" s="11">
        <f t="shared" si="19"/>
        <v>666.5</v>
      </c>
      <c r="H20" s="11">
        <f t="shared" si="19"/>
        <v>704</v>
      </c>
      <c r="I20" s="11">
        <f t="shared" si="19"/>
        <v>720</v>
      </c>
      <c r="J20" s="11">
        <f t="shared" si="19"/>
        <v>736</v>
      </c>
      <c r="K20" s="11">
        <f t="shared" si="19"/>
        <v>775.5</v>
      </c>
      <c r="L20" s="11">
        <f t="shared" si="19"/>
        <v>792</v>
      </c>
      <c r="M20" s="11">
        <f t="shared" si="19"/>
        <v>808.5</v>
      </c>
      <c r="N20" s="11">
        <f t="shared" si="19"/>
        <v>850.00000000000011</v>
      </c>
      <c r="O20" s="16">
        <f t="shared" si="19"/>
        <v>867.00000000000011</v>
      </c>
      <c r="P20" s="16">
        <f t="shared" ref="P20:AA20" si="20">P9*P14</f>
        <v>884.00000000000011</v>
      </c>
      <c r="Q20" s="16">
        <f t="shared" si="20"/>
        <v>927.50000000000011</v>
      </c>
      <c r="R20" s="16">
        <f t="shared" si="20"/>
        <v>945.00000000000011</v>
      </c>
      <c r="S20" s="16">
        <f t="shared" si="20"/>
        <v>962.50000000000011</v>
      </c>
      <c r="T20" s="16">
        <f t="shared" si="20"/>
        <v>1007.9999999999999</v>
      </c>
      <c r="U20" s="16">
        <f t="shared" si="20"/>
        <v>1026</v>
      </c>
      <c r="V20" s="16">
        <f t="shared" si="20"/>
        <v>1044</v>
      </c>
      <c r="W20" s="16">
        <f t="shared" si="20"/>
        <v>1091.5</v>
      </c>
      <c r="X20" s="16">
        <f t="shared" si="20"/>
        <v>1110</v>
      </c>
      <c r="Y20" s="16">
        <f t="shared" si="20"/>
        <v>1128.5</v>
      </c>
      <c r="Z20" s="16">
        <f t="shared" si="20"/>
        <v>1178</v>
      </c>
      <c r="AA20" s="16">
        <f t="shared" si="20"/>
        <v>1197</v>
      </c>
    </row>
    <row r="21" spans="2:27" x14ac:dyDescent="0.25">
      <c r="B21" s="12" t="s">
        <v>16</v>
      </c>
      <c r="C21" s="31" t="s">
        <v>44</v>
      </c>
      <c r="D21" s="11">
        <f>D10*D15</f>
        <v>100</v>
      </c>
      <c r="E21" s="11">
        <f t="shared" ref="E21:O21" si="21">E10*E15</f>
        <v>107.10000000000001</v>
      </c>
      <c r="F21" s="11">
        <f t="shared" si="21"/>
        <v>109.2</v>
      </c>
      <c r="G21" s="11">
        <f t="shared" si="21"/>
        <v>111.30000000000001</v>
      </c>
      <c r="H21" s="11">
        <f t="shared" si="21"/>
        <v>118.8</v>
      </c>
      <c r="I21" s="11">
        <f t="shared" si="21"/>
        <v>121</v>
      </c>
      <c r="J21" s="11">
        <f t="shared" si="21"/>
        <v>123.19999999999999</v>
      </c>
      <c r="K21" s="11">
        <f t="shared" si="21"/>
        <v>131.1</v>
      </c>
      <c r="L21" s="11">
        <f t="shared" si="21"/>
        <v>133.4</v>
      </c>
      <c r="M21" s="11">
        <f t="shared" si="21"/>
        <v>135.69999999999999</v>
      </c>
      <c r="N21" s="11">
        <f t="shared" si="21"/>
        <v>144</v>
      </c>
      <c r="O21" s="16">
        <f t="shared" si="21"/>
        <v>146.4</v>
      </c>
      <c r="P21" s="16">
        <f t="shared" ref="P21:AA21" si="22">P10*P15</f>
        <v>148.80000000000001</v>
      </c>
      <c r="Q21" s="16">
        <f t="shared" si="22"/>
        <v>157.5</v>
      </c>
      <c r="R21" s="16">
        <f t="shared" si="22"/>
        <v>160</v>
      </c>
      <c r="S21" s="16">
        <f t="shared" si="22"/>
        <v>162.5</v>
      </c>
      <c r="T21" s="16">
        <f t="shared" si="22"/>
        <v>171.6</v>
      </c>
      <c r="U21" s="16">
        <f t="shared" si="22"/>
        <v>174.2</v>
      </c>
      <c r="V21" s="16">
        <f t="shared" si="22"/>
        <v>176.79999999999998</v>
      </c>
      <c r="W21" s="16">
        <f t="shared" si="22"/>
        <v>186.3</v>
      </c>
      <c r="X21" s="16">
        <f t="shared" si="22"/>
        <v>189</v>
      </c>
      <c r="Y21" s="16">
        <f t="shared" si="22"/>
        <v>191.7</v>
      </c>
      <c r="Z21" s="16">
        <f t="shared" si="22"/>
        <v>201.6</v>
      </c>
      <c r="AA21" s="16">
        <f t="shared" si="22"/>
        <v>204.4</v>
      </c>
    </row>
    <row r="22" spans="2:27" x14ac:dyDescent="0.25">
      <c r="B22" s="14" t="s">
        <v>21</v>
      </c>
      <c r="C22" s="30" t="s">
        <v>44</v>
      </c>
      <c r="D22" s="71">
        <f>SUM(D20:D21)</f>
        <v>700</v>
      </c>
      <c r="E22" s="71">
        <f t="shared" ref="E22:O22" si="23">SUM(E20:E21)</f>
        <v>742.6</v>
      </c>
      <c r="F22" s="71">
        <f t="shared" si="23"/>
        <v>760.2</v>
      </c>
      <c r="G22" s="71">
        <f t="shared" si="23"/>
        <v>777.8</v>
      </c>
      <c r="H22" s="71">
        <f t="shared" si="23"/>
        <v>822.8</v>
      </c>
      <c r="I22" s="71">
        <f t="shared" si="23"/>
        <v>841</v>
      </c>
      <c r="J22" s="71">
        <f t="shared" si="23"/>
        <v>859.2</v>
      </c>
      <c r="K22" s="71">
        <f t="shared" si="23"/>
        <v>906.6</v>
      </c>
      <c r="L22" s="71">
        <f t="shared" si="23"/>
        <v>925.4</v>
      </c>
      <c r="M22" s="71">
        <f t="shared" si="23"/>
        <v>944.2</v>
      </c>
      <c r="N22" s="71">
        <f t="shared" si="23"/>
        <v>994.00000000000011</v>
      </c>
      <c r="O22" s="72">
        <f t="shared" si="23"/>
        <v>1013.4000000000001</v>
      </c>
      <c r="P22" s="72">
        <f t="shared" ref="P22:AA22" si="24">SUM(P20:P21)</f>
        <v>1032.8000000000002</v>
      </c>
      <c r="Q22" s="72">
        <f t="shared" si="24"/>
        <v>1085</v>
      </c>
      <c r="R22" s="72">
        <f t="shared" si="24"/>
        <v>1105</v>
      </c>
      <c r="S22" s="72">
        <f t="shared" si="24"/>
        <v>1125</v>
      </c>
      <c r="T22" s="72">
        <f t="shared" si="24"/>
        <v>1179.5999999999999</v>
      </c>
      <c r="U22" s="72">
        <f t="shared" si="24"/>
        <v>1200.2</v>
      </c>
      <c r="V22" s="72">
        <f t="shared" si="24"/>
        <v>1220.8</v>
      </c>
      <c r="W22" s="72">
        <f t="shared" si="24"/>
        <v>1277.8</v>
      </c>
      <c r="X22" s="72">
        <f t="shared" si="24"/>
        <v>1299</v>
      </c>
      <c r="Y22" s="72">
        <f t="shared" si="24"/>
        <v>1320.2</v>
      </c>
      <c r="Z22" s="72">
        <f t="shared" si="24"/>
        <v>1379.6</v>
      </c>
      <c r="AA22" s="72">
        <f t="shared" si="24"/>
        <v>1401.4</v>
      </c>
    </row>
    <row r="23" spans="2:27" ht="7.05" customHeight="1" x14ac:dyDescent="0.25">
      <c r="B23" s="8"/>
      <c r="C23" s="11"/>
      <c r="D23" s="11"/>
      <c r="E23" s="11"/>
      <c r="F23" s="11"/>
      <c r="G23" s="11"/>
      <c r="H23" s="11"/>
      <c r="I23" s="11"/>
      <c r="J23" s="11"/>
      <c r="K23" s="11"/>
      <c r="L23" s="11"/>
      <c r="M23" s="11"/>
      <c r="N23" s="11"/>
      <c r="O23" s="16"/>
      <c r="P23" s="11"/>
      <c r="Q23" s="11"/>
      <c r="R23" s="11"/>
      <c r="S23" s="11"/>
      <c r="T23" s="11"/>
      <c r="U23" s="11"/>
      <c r="V23" s="11"/>
      <c r="W23" s="11"/>
      <c r="X23" s="11"/>
      <c r="Y23" s="11"/>
      <c r="Z23" s="11"/>
      <c r="AA23" s="16"/>
    </row>
    <row r="24" spans="2:27" x14ac:dyDescent="0.25">
      <c r="B24" s="10" t="s">
        <v>22</v>
      </c>
      <c r="C24" s="11"/>
      <c r="D24" s="11"/>
      <c r="E24" s="11"/>
      <c r="F24" s="11"/>
      <c r="G24" s="11"/>
      <c r="H24" s="11"/>
      <c r="I24" s="11"/>
      <c r="J24" s="11"/>
      <c r="K24" s="11"/>
      <c r="L24" s="11"/>
      <c r="M24" s="11"/>
      <c r="N24" s="11"/>
      <c r="O24" s="16"/>
      <c r="P24" s="11"/>
      <c r="Q24" s="11"/>
      <c r="R24" s="11"/>
      <c r="S24" s="11"/>
      <c r="T24" s="11"/>
      <c r="U24" s="11"/>
      <c r="V24" s="11"/>
      <c r="W24" s="11"/>
      <c r="X24" s="11"/>
      <c r="Y24" s="11"/>
      <c r="Z24" s="11"/>
      <c r="AA24" s="16"/>
    </row>
    <row r="25" spans="2:27" ht="7.05" customHeight="1" x14ac:dyDescent="0.25">
      <c r="B25" s="8"/>
      <c r="C25" s="11"/>
      <c r="D25" s="11"/>
      <c r="E25" s="11"/>
      <c r="F25" s="11"/>
      <c r="G25" s="11"/>
      <c r="H25" s="11"/>
      <c r="I25" s="11"/>
      <c r="J25" s="11"/>
      <c r="K25" s="11"/>
      <c r="L25" s="11"/>
      <c r="M25" s="11"/>
      <c r="N25" s="11"/>
      <c r="O25" s="16"/>
      <c r="P25" s="11"/>
      <c r="Q25" s="11"/>
      <c r="R25" s="11"/>
      <c r="S25" s="11"/>
      <c r="T25" s="11"/>
      <c r="U25" s="11"/>
      <c r="V25" s="11"/>
      <c r="W25" s="11"/>
      <c r="X25" s="11"/>
      <c r="Y25" s="11"/>
      <c r="Z25" s="11"/>
      <c r="AA25" s="16"/>
    </row>
    <row r="26" spans="2:27" x14ac:dyDescent="0.25">
      <c r="B26" s="9" t="s">
        <v>23</v>
      </c>
      <c r="C26" s="32" t="s">
        <v>46</v>
      </c>
      <c r="D26" s="51">
        <v>50</v>
      </c>
      <c r="E26" s="51">
        <v>50</v>
      </c>
      <c r="F26" s="51">
        <v>50</v>
      </c>
      <c r="G26" s="51">
        <v>50</v>
      </c>
      <c r="H26" s="51">
        <v>50</v>
      </c>
      <c r="I26" s="51">
        <v>50</v>
      </c>
      <c r="J26" s="51">
        <v>51</v>
      </c>
      <c r="K26" s="51">
        <v>51</v>
      </c>
      <c r="L26" s="51">
        <v>51</v>
      </c>
      <c r="M26" s="51">
        <v>51</v>
      </c>
      <c r="N26" s="51">
        <v>51</v>
      </c>
      <c r="O26" s="51">
        <v>51</v>
      </c>
      <c r="P26" s="51">
        <v>52</v>
      </c>
      <c r="Q26" s="51">
        <v>52</v>
      </c>
      <c r="R26" s="51">
        <v>52</v>
      </c>
      <c r="S26" s="51">
        <v>52</v>
      </c>
      <c r="T26" s="51">
        <v>52</v>
      </c>
      <c r="U26" s="51">
        <v>52</v>
      </c>
      <c r="V26" s="51">
        <v>53</v>
      </c>
      <c r="W26" s="51">
        <v>53</v>
      </c>
      <c r="X26" s="51">
        <v>53</v>
      </c>
      <c r="Y26" s="51">
        <v>53</v>
      </c>
      <c r="Z26" s="51">
        <v>53</v>
      </c>
      <c r="AA26" s="52">
        <v>53</v>
      </c>
    </row>
    <row r="27" spans="2:27" x14ac:dyDescent="0.25">
      <c r="B27" s="12" t="s">
        <v>24</v>
      </c>
      <c r="C27" s="31" t="s">
        <v>44</v>
      </c>
      <c r="D27" s="43">
        <v>1</v>
      </c>
      <c r="E27" s="43">
        <v>1</v>
      </c>
      <c r="F27" s="43">
        <v>1</v>
      </c>
      <c r="G27" s="43">
        <v>1</v>
      </c>
      <c r="H27" s="43">
        <v>1</v>
      </c>
      <c r="I27" s="43">
        <v>1</v>
      </c>
      <c r="J27" s="43">
        <v>1</v>
      </c>
      <c r="K27" s="43">
        <v>1</v>
      </c>
      <c r="L27" s="43">
        <v>1</v>
      </c>
      <c r="M27" s="43">
        <v>2</v>
      </c>
      <c r="N27" s="43">
        <v>2</v>
      </c>
      <c r="O27" s="68">
        <v>2</v>
      </c>
      <c r="P27" s="68">
        <v>2</v>
      </c>
      <c r="Q27" s="68">
        <v>2</v>
      </c>
      <c r="R27" s="68">
        <v>2</v>
      </c>
      <c r="S27" s="68">
        <v>2</v>
      </c>
      <c r="T27" s="68">
        <v>2</v>
      </c>
      <c r="U27" s="68">
        <v>2</v>
      </c>
      <c r="V27" s="43">
        <v>3</v>
      </c>
      <c r="W27" s="43">
        <v>3</v>
      </c>
      <c r="X27" s="43">
        <v>3</v>
      </c>
      <c r="Y27" s="43">
        <v>3</v>
      </c>
      <c r="Z27" s="43">
        <v>3</v>
      </c>
      <c r="AA27" s="68">
        <v>3</v>
      </c>
    </row>
    <row r="28" spans="2:27" x14ac:dyDescent="0.25">
      <c r="B28" s="14" t="s">
        <v>25</v>
      </c>
      <c r="C28" s="33" t="s">
        <v>46</v>
      </c>
      <c r="D28" s="84">
        <f>D26*D27</f>
        <v>50</v>
      </c>
      <c r="E28" s="84">
        <f t="shared" ref="E28:AA28" si="25">E26*E27</f>
        <v>50</v>
      </c>
      <c r="F28" s="84">
        <f t="shared" si="25"/>
        <v>50</v>
      </c>
      <c r="G28" s="84">
        <f t="shared" si="25"/>
        <v>50</v>
      </c>
      <c r="H28" s="84">
        <f t="shared" si="25"/>
        <v>50</v>
      </c>
      <c r="I28" s="84">
        <f t="shared" si="25"/>
        <v>50</v>
      </c>
      <c r="J28" s="84">
        <f t="shared" si="25"/>
        <v>51</v>
      </c>
      <c r="K28" s="84">
        <f t="shared" si="25"/>
        <v>51</v>
      </c>
      <c r="L28" s="84">
        <f t="shared" si="25"/>
        <v>51</v>
      </c>
      <c r="M28" s="84">
        <f t="shared" si="25"/>
        <v>102</v>
      </c>
      <c r="N28" s="84">
        <f t="shared" si="25"/>
        <v>102</v>
      </c>
      <c r="O28" s="85">
        <f t="shared" si="25"/>
        <v>102</v>
      </c>
      <c r="P28" s="85">
        <f t="shared" si="25"/>
        <v>104</v>
      </c>
      <c r="Q28" s="85">
        <f t="shared" si="25"/>
        <v>104</v>
      </c>
      <c r="R28" s="85">
        <f t="shared" si="25"/>
        <v>104</v>
      </c>
      <c r="S28" s="85">
        <f t="shared" si="25"/>
        <v>104</v>
      </c>
      <c r="T28" s="85">
        <f t="shared" si="25"/>
        <v>104</v>
      </c>
      <c r="U28" s="85">
        <f t="shared" si="25"/>
        <v>104</v>
      </c>
      <c r="V28" s="85">
        <f t="shared" si="25"/>
        <v>159</v>
      </c>
      <c r="W28" s="85">
        <f t="shared" si="25"/>
        <v>159</v>
      </c>
      <c r="X28" s="85">
        <f t="shared" si="25"/>
        <v>159</v>
      </c>
      <c r="Y28" s="85">
        <f t="shared" si="25"/>
        <v>159</v>
      </c>
      <c r="Z28" s="85">
        <f t="shared" si="25"/>
        <v>159</v>
      </c>
      <c r="AA28" s="85">
        <f t="shared" si="25"/>
        <v>159</v>
      </c>
    </row>
    <row r="30" spans="2:27" x14ac:dyDescent="0.25">
      <c r="B30" s="7" t="s">
        <v>13</v>
      </c>
      <c r="C30" s="3"/>
      <c r="D30" s="100" t="s">
        <v>38</v>
      </c>
      <c r="E30" s="100"/>
      <c r="F30" s="100"/>
      <c r="G30" s="100"/>
      <c r="H30" s="100"/>
      <c r="I30" s="100"/>
      <c r="J30" s="100"/>
      <c r="K30" s="100"/>
      <c r="L30" s="100"/>
      <c r="M30" s="100"/>
      <c r="N30" s="100"/>
      <c r="O30" s="100"/>
      <c r="P30" s="100"/>
      <c r="Q30" s="100"/>
      <c r="R30" s="100"/>
      <c r="S30" s="100"/>
      <c r="T30" s="100"/>
      <c r="U30" s="100"/>
      <c r="V30" s="100"/>
      <c r="W30" s="100"/>
      <c r="X30" s="100"/>
      <c r="Y30" s="100"/>
      <c r="Z30" s="100"/>
      <c r="AA30" s="100"/>
    </row>
    <row r="31" spans="2:27" ht="7.05" customHeight="1" x14ac:dyDescent="0.25"/>
    <row r="32" spans="2:27" x14ac:dyDescent="0.25">
      <c r="B32" s="10" t="s">
        <v>14</v>
      </c>
      <c r="C32" s="11"/>
      <c r="D32" s="11"/>
      <c r="E32" s="11"/>
      <c r="F32" s="11"/>
      <c r="G32" s="11"/>
      <c r="H32" s="11"/>
      <c r="I32" s="11"/>
      <c r="J32" s="11"/>
      <c r="K32" s="11"/>
      <c r="L32" s="11"/>
      <c r="M32" s="11"/>
      <c r="N32" s="11"/>
      <c r="P32" s="11"/>
      <c r="Q32" s="11"/>
      <c r="R32" s="11"/>
      <c r="S32" s="11"/>
      <c r="T32" s="11"/>
      <c r="U32" s="11"/>
      <c r="V32" s="11"/>
      <c r="W32" s="11"/>
      <c r="X32" s="11"/>
      <c r="Y32" s="11"/>
      <c r="Z32" s="11"/>
      <c r="AA32" s="16"/>
    </row>
    <row r="33" spans="2:27" x14ac:dyDescent="0.25">
      <c r="B33" s="9" t="s">
        <v>15</v>
      </c>
      <c r="C33" s="29" t="s">
        <v>44</v>
      </c>
      <c r="D33" s="42">
        <v>20000</v>
      </c>
      <c r="E33" s="11">
        <f>D$33+400</f>
        <v>20400</v>
      </c>
      <c r="F33" s="11">
        <f t="shared" ref="F33:O33" si="26">E$33+400</f>
        <v>20800</v>
      </c>
      <c r="G33" s="11">
        <f t="shared" si="26"/>
        <v>21200</v>
      </c>
      <c r="H33" s="11">
        <f t="shared" si="26"/>
        <v>21600</v>
      </c>
      <c r="I33" s="11">
        <f t="shared" si="26"/>
        <v>22000</v>
      </c>
      <c r="J33" s="11">
        <f t="shared" si="26"/>
        <v>22400</v>
      </c>
      <c r="K33" s="11">
        <f t="shared" si="26"/>
        <v>22800</v>
      </c>
      <c r="L33" s="11">
        <f t="shared" si="26"/>
        <v>23200</v>
      </c>
      <c r="M33" s="11">
        <f t="shared" si="26"/>
        <v>23600</v>
      </c>
      <c r="N33" s="11">
        <f t="shared" si="26"/>
        <v>24000</v>
      </c>
      <c r="O33" s="11">
        <f t="shared" si="26"/>
        <v>24400</v>
      </c>
      <c r="P33" s="11">
        <f t="shared" ref="P33:AA33" si="27">O$33+400</f>
        <v>24800</v>
      </c>
      <c r="Q33" s="11">
        <f t="shared" si="27"/>
        <v>25200</v>
      </c>
      <c r="R33" s="11">
        <f t="shared" si="27"/>
        <v>25600</v>
      </c>
      <c r="S33" s="11">
        <f t="shared" si="27"/>
        <v>26000</v>
      </c>
      <c r="T33" s="11">
        <f t="shared" si="27"/>
        <v>26400</v>
      </c>
      <c r="U33" s="11">
        <f t="shared" si="27"/>
        <v>26800</v>
      </c>
      <c r="V33" s="11">
        <f t="shared" si="27"/>
        <v>27200</v>
      </c>
      <c r="W33" s="11">
        <f t="shared" si="27"/>
        <v>27600</v>
      </c>
      <c r="X33" s="11">
        <f t="shared" si="27"/>
        <v>28000</v>
      </c>
      <c r="Y33" s="11">
        <f t="shared" si="27"/>
        <v>28400</v>
      </c>
      <c r="Z33" s="11">
        <f t="shared" si="27"/>
        <v>28800</v>
      </c>
      <c r="AA33" s="16">
        <f t="shared" si="27"/>
        <v>29200</v>
      </c>
    </row>
    <row r="34" spans="2:27" x14ac:dyDescent="0.25">
      <c r="B34" s="12" t="s">
        <v>16</v>
      </c>
      <c r="C34" s="29" t="s">
        <v>44</v>
      </c>
      <c r="D34" s="43">
        <v>5000</v>
      </c>
      <c r="E34" s="13">
        <f>D$34+200</f>
        <v>5200</v>
      </c>
      <c r="F34" s="13">
        <f t="shared" ref="F34:O34" si="28">E$34+200</f>
        <v>5400</v>
      </c>
      <c r="G34" s="13">
        <f t="shared" si="28"/>
        <v>5600</v>
      </c>
      <c r="H34" s="13">
        <f t="shared" si="28"/>
        <v>5800</v>
      </c>
      <c r="I34" s="13">
        <f t="shared" si="28"/>
        <v>6000</v>
      </c>
      <c r="J34" s="13">
        <f t="shared" si="28"/>
        <v>6200</v>
      </c>
      <c r="K34" s="13">
        <f t="shared" si="28"/>
        <v>6400</v>
      </c>
      <c r="L34" s="13">
        <f t="shared" si="28"/>
        <v>6600</v>
      </c>
      <c r="M34" s="13">
        <f t="shared" si="28"/>
        <v>6800</v>
      </c>
      <c r="N34" s="13">
        <f t="shared" si="28"/>
        <v>7000</v>
      </c>
      <c r="O34" s="13">
        <f t="shared" si="28"/>
        <v>7200</v>
      </c>
      <c r="P34" s="13">
        <f t="shared" ref="P34:AA34" si="29">O$34+200</f>
        <v>7400</v>
      </c>
      <c r="Q34" s="13">
        <f t="shared" si="29"/>
        <v>7600</v>
      </c>
      <c r="R34" s="13">
        <f t="shared" si="29"/>
        <v>7800</v>
      </c>
      <c r="S34" s="13">
        <f t="shared" si="29"/>
        <v>8000</v>
      </c>
      <c r="T34" s="13">
        <f t="shared" si="29"/>
        <v>8200</v>
      </c>
      <c r="U34" s="13">
        <f t="shared" si="29"/>
        <v>8400</v>
      </c>
      <c r="V34" s="13">
        <f t="shared" si="29"/>
        <v>8600</v>
      </c>
      <c r="W34" s="13">
        <f t="shared" si="29"/>
        <v>8800</v>
      </c>
      <c r="X34" s="13">
        <f t="shared" si="29"/>
        <v>9000</v>
      </c>
      <c r="Y34" s="13">
        <f t="shared" si="29"/>
        <v>9200</v>
      </c>
      <c r="Z34" s="13">
        <f t="shared" si="29"/>
        <v>9400</v>
      </c>
      <c r="AA34" s="17">
        <f t="shared" si="29"/>
        <v>9600</v>
      </c>
    </row>
    <row r="35" spans="2:27" x14ac:dyDescent="0.25">
      <c r="B35" s="14" t="s">
        <v>17</v>
      </c>
      <c r="C35" s="30" t="s">
        <v>44</v>
      </c>
      <c r="D35" s="71">
        <f>SUM(D33:D34)</f>
        <v>25000</v>
      </c>
      <c r="E35" s="71">
        <f t="shared" ref="E35:O35" si="30">SUM(E33:E34)</f>
        <v>25600</v>
      </c>
      <c r="F35" s="71">
        <f t="shared" si="30"/>
        <v>26200</v>
      </c>
      <c r="G35" s="71">
        <f t="shared" si="30"/>
        <v>26800</v>
      </c>
      <c r="H35" s="71">
        <f t="shared" si="30"/>
        <v>27400</v>
      </c>
      <c r="I35" s="71">
        <f t="shared" si="30"/>
        <v>28000</v>
      </c>
      <c r="J35" s="71">
        <f t="shared" si="30"/>
        <v>28600</v>
      </c>
      <c r="K35" s="71">
        <f t="shared" si="30"/>
        <v>29200</v>
      </c>
      <c r="L35" s="71">
        <f t="shared" si="30"/>
        <v>29800</v>
      </c>
      <c r="M35" s="71">
        <f t="shared" si="30"/>
        <v>30400</v>
      </c>
      <c r="N35" s="71">
        <f t="shared" si="30"/>
        <v>31000</v>
      </c>
      <c r="O35" s="72">
        <f t="shared" si="30"/>
        <v>31600</v>
      </c>
      <c r="P35" s="72">
        <f t="shared" ref="P35:AA35" si="31">SUM(P33:P34)</f>
        <v>32200</v>
      </c>
      <c r="Q35" s="72">
        <f t="shared" si="31"/>
        <v>32800</v>
      </c>
      <c r="R35" s="72">
        <f t="shared" si="31"/>
        <v>33400</v>
      </c>
      <c r="S35" s="72">
        <f t="shared" si="31"/>
        <v>34000</v>
      </c>
      <c r="T35" s="72">
        <f t="shared" si="31"/>
        <v>34600</v>
      </c>
      <c r="U35" s="72">
        <f t="shared" si="31"/>
        <v>35200</v>
      </c>
      <c r="V35" s="72">
        <f t="shared" si="31"/>
        <v>35800</v>
      </c>
      <c r="W35" s="72">
        <f t="shared" si="31"/>
        <v>36400</v>
      </c>
      <c r="X35" s="72">
        <f t="shared" si="31"/>
        <v>37000</v>
      </c>
      <c r="Y35" s="72">
        <f t="shared" si="31"/>
        <v>37600</v>
      </c>
      <c r="Z35" s="72">
        <f t="shared" si="31"/>
        <v>38200</v>
      </c>
      <c r="AA35" s="72">
        <f t="shared" si="31"/>
        <v>38800</v>
      </c>
    </row>
    <row r="36" spans="2:27" ht="7.05" customHeight="1" x14ac:dyDescent="0.25">
      <c r="B36" s="8"/>
      <c r="C36" s="11"/>
      <c r="D36" s="11"/>
      <c r="E36" s="11"/>
      <c r="F36" s="11"/>
      <c r="G36" s="11"/>
      <c r="H36" s="11"/>
      <c r="I36" s="11"/>
      <c r="J36" s="11"/>
      <c r="K36" s="11"/>
      <c r="L36" s="11"/>
      <c r="M36" s="11"/>
      <c r="N36" s="11"/>
      <c r="P36" s="11"/>
      <c r="Q36" s="11"/>
      <c r="R36" s="11"/>
      <c r="S36" s="11"/>
      <c r="T36" s="11"/>
      <c r="U36" s="11"/>
      <c r="V36" s="11"/>
      <c r="W36" s="11"/>
      <c r="X36" s="11"/>
      <c r="Y36" s="11"/>
      <c r="Z36" s="11"/>
      <c r="AA36" s="16"/>
    </row>
    <row r="37" spans="2:27" x14ac:dyDescent="0.25">
      <c r="B37" s="10" t="s">
        <v>18</v>
      </c>
      <c r="C37" s="11"/>
      <c r="D37" s="11"/>
      <c r="E37" s="11"/>
      <c r="F37" s="11"/>
      <c r="G37" s="11"/>
      <c r="H37" s="11"/>
      <c r="I37" s="11"/>
      <c r="J37" s="11"/>
      <c r="K37" s="11"/>
      <c r="L37" s="11"/>
      <c r="M37" s="11"/>
      <c r="N37" s="11"/>
      <c r="P37" s="11"/>
      <c r="Q37" s="11"/>
      <c r="R37" s="11"/>
      <c r="S37" s="11"/>
      <c r="T37" s="11"/>
      <c r="U37" s="11"/>
      <c r="V37" s="11"/>
      <c r="W37" s="11"/>
      <c r="X37" s="11"/>
      <c r="Y37" s="11"/>
      <c r="Z37" s="11"/>
      <c r="AA37" s="16"/>
    </row>
    <row r="38" spans="2:27" x14ac:dyDescent="0.25">
      <c r="B38" s="9" t="s">
        <v>15</v>
      </c>
      <c r="C38" s="29" t="s">
        <v>45</v>
      </c>
      <c r="D38" s="36">
        <v>0.02</v>
      </c>
      <c r="E38" s="36">
        <v>2.1000000000000001E-2</v>
      </c>
      <c r="F38" s="36">
        <v>2.1000000000000001E-2</v>
      </c>
      <c r="G38" s="36">
        <v>2.1000000000000001E-2</v>
      </c>
      <c r="H38" s="36">
        <v>2.1999999999999999E-2</v>
      </c>
      <c r="I38" s="36">
        <v>2.1999999999999999E-2</v>
      </c>
      <c r="J38" s="36">
        <v>2.1999999999999999E-2</v>
      </c>
      <c r="K38" s="36">
        <v>2.3E-2</v>
      </c>
      <c r="L38" s="36">
        <v>2.3E-2</v>
      </c>
      <c r="M38" s="36">
        <v>2.3E-2</v>
      </c>
      <c r="N38" s="36">
        <v>2.4E-2</v>
      </c>
      <c r="O38" s="37">
        <v>2.4E-2</v>
      </c>
      <c r="P38" s="36">
        <v>2.4E-2</v>
      </c>
      <c r="Q38" s="36">
        <v>2.5000000000000001E-2</v>
      </c>
      <c r="R38" s="36">
        <v>2.5000000000000001E-2</v>
      </c>
      <c r="S38" s="36">
        <v>2.5000000000000001E-2</v>
      </c>
      <c r="T38" s="36">
        <v>2.5999999999999999E-2</v>
      </c>
      <c r="U38" s="36">
        <v>2.5999999999999999E-2</v>
      </c>
      <c r="V38" s="36">
        <v>2.5999999999999999E-2</v>
      </c>
      <c r="W38" s="36">
        <v>2.7E-2</v>
      </c>
      <c r="X38" s="36">
        <v>2.7E-2</v>
      </c>
      <c r="Y38" s="36">
        <v>2.7E-2</v>
      </c>
      <c r="Z38" s="36">
        <v>2.8000000000000001E-2</v>
      </c>
      <c r="AA38" s="40">
        <v>2.8000000000000001E-2</v>
      </c>
    </row>
    <row r="39" spans="2:27" x14ac:dyDescent="0.25">
      <c r="B39" s="12" t="s">
        <v>16</v>
      </c>
      <c r="C39" s="31" t="s">
        <v>45</v>
      </c>
      <c r="D39" s="38">
        <v>0.01</v>
      </c>
      <c r="E39" s="38">
        <v>1.0999999999999999E-2</v>
      </c>
      <c r="F39" s="38">
        <v>1.0999999999999999E-2</v>
      </c>
      <c r="G39" s="38">
        <v>1.0999999999999999E-2</v>
      </c>
      <c r="H39" s="38">
        <v>1.2E-2</v>
      </c>
      <c r="I39" s="38">
        <v>1.2E-2</v>
      </c>
      <c r="J39" s="38">
        <v>1.2E-2</v>
      </c>
      <c r="K39" s="38">
        <v>1.2999999999999999E-2</v>
      </c>
      <c r="L39" s="38">
        <v>1.2999999999999999E-2</v>
      </c>
      <c r="M39" s="38">
        <v>1.2999999999999999E-2</v>
      </c>
      <c r="N39" s="38">
        <v>1.4E-2</v>
      </c>
      <c r="O39" s="39">
        <v>1.4E-2</v>
      </c>
      <c r="P39" s="38">
        <v>1.4E-2</v>
      </c>
      <c r="Q39" s="38">
        <v>1.4999999999999999E-2</v>
      </c>
      <c r="R39" s="38">
        <v>1.4999999999999999E-2</v>
      </c>
      <c r="S39" s="38">
        <v>1.4999999999999999E-2</v>
      </c>
      <c r="T39" s="38">
        <v>1.6E-2</v>
      </c>
      <c r="U39" s="38">
        <v>1.6E-2</v>
      </c>
      <c r="V39" s="38">
        <v>1.6E-2</v>
      </c>
      <c r="W39" s="38">
        <v>1.7000000000000001E-2</v>
      </c>
      <c r="X39" s="38">
        <v>1.7000000000000001E-2</v>
      </c>
      <c r="Y39" s="38">
        <v>1.7000000000000001E-2</v>
      </c>
      <c r="Z39" s="38">
        <v>1.7999999999999999E-2</v>
      </c>
      <c r="AA39" s="41">
        <v>1.7999999999999999E-2</v>
      </c>
    </row>
    <row r="40" spans="2:27" x14ac:dyDescent="0.25">
      <c r="B40" s="14" t="s">
        <v>19</v>
      </c>
      <c r="C40" s="30" t="s">
        <v>45</v>
      </c>
      <c r="D40" s="82">
        <f>AVERAGE(D38,D39)</f>
        <v>1.4999999999999999E-2</v>
      </c>
      <c r="E40" s="82">
        <f t="shared" ref="E40:AA40" si="32">AVERAGE(E38,E39)</f>
        <v>1.6E-2</v>
      </c>
      <c r="F40" s="82">
        <f t="shared" si="32"/>
        <v>1.6E-2</v>
      </c>
      <c r="G40" s="82">
        <f t="shared" si="32"/>
        <v>1.6E-2</v>
      </c>
      <c r="H40" s="82">
        <f t="shared" si="32"/>
        <v>1.7000000000000001E-2</v>
      </c>
      <c r="I40" s="82">
        <f t="shared" si="32"/>
        <v>1.7000000000000001E-2</v>
      </c>
      <c r="J40" s="82">
        <f t="shared" si="32"/>
        <v>1.7000000000000001E-2</v>
      </c>
      <c r="K40" s="82">
        <f t="shared" si="32"/>
        <v>1.7999999999999999E-2</v>
      </c>
      <c r="L40" s="82">
        <f t="shared" si="32"/>
        <v>1.7999999999999999E-2</v>
      </c>
      <c r="M40" s="82">
        <f t="shared" si="32"/>
        <v>1.7999999999999999E-2</v>
      </c>
      <c r="N40" s="82">
        <f t="shared" si="32"/>
        <v>1.9E-2</v>
      </c>
      <c r="O40" s="83">
        <f t="shared" si="32"/>
        <v>1.9E-2</v>
      </c>
      <c r="P40" s="83">
        <f t="shared" si="32"/>
        <v>1.9E-2</v>
      </c>
      <c r="Q40" s="83">
        <f t="shared" si="32"/>
        <v>0.02</v>
      </c>
      <c r="R40" s="83">
        <f t="shared" si="32"/>
        <v>0.02</v>
      </c>
      <c r="S40" s="83">
        <f t="shared" si="32"/>
        <v>0.02</v>
      </c>
      <c r="T40" s="83">
        <f t="shared" si="32"/>
        <v>2.0999999999999998E-2</v>
      </c>
      <c r="U40" s="83">
        <f t="shared" si="32"/>
        <v>2.0999999999999998E-2</v>
      </c>
      <c r="V40" s="83">
        <f t="shared" si="32"/>
        <v>2.0999999999999998E-2</v>
      </c>
      <c r="W40" s="83">
        <f t="shared" si="32"/>
        <v>2.1999999999999999E-2</v>
      </c>
      <c r="X40" s="83">
        <f t="shared" si="32"/>
        <v>2.1999999999999999E-2</v>
      </c>
      <c r="Y40" s="83">
        <f t="shared" si="32"/>
        <v>2.1999999999999999E-2</v>
      </c>
      <c r="Z40" s="83">
        <f t="shared" si="32"/>
        <v>2.3E-2</v>
      </c>
      <c r="AA40" s="83">
        <f t="shared" si="32"/>
        <v>2.3E-2</v>
      </c>
    </row>
    <row r="41" spans="2:27" ht="7.05" customHeight="1" x14ac:dyDescent="0.25">
      <c r="B41" s="8"/>
      <c r="C41" s="11"/>
      <c r="D41" s="11"/>
      <c r="E41" s="11"/>
      <c r="F41" s="11"/>
      <c r="G41" s="11"/>
      <c r="H41" s="11"/>
      <c r="I41" s="11"/>
      <c r="J41" s="11"/>
      <c r="K41" s="11"/>
      <c r="L41" s="11"/>
      <c r="M41" s="11"/>
      <c r="N41" s="11"/>
      <c r="P41" s="11"/>
      <c r="Q41" s="11"/>
      <c r="R41" s="11"/>
      <c r="S41" s="11"/>
      <c r="T41" s="11"/>
      <c r="U41" s="11"/>
      <c r="V41" s="11"/>
      <c r="W41" s="11"/>
      <c r="X41" s="11"/>
      <c r="Y41" s="11"/>
      <c r="Z41" s="11"/>
      <c r="AA41" s="16"/>
    </row>
    <row r="42" spans="2:27" x14ac:dyDescent="0.25">
      <c r="B42" s="10" t="s">
        <v>20</v>
      </c>
      <c r="C42" s="11"/>
      <c r="D42" s="11"/>
      <c r="E42" s="11"/>
      <c r="F42" s="11"/>
      <c r="G42" s="11"/>
      <c r="H42" s="11"/>
      <c r="I42" s="11"/>
      <c r="J42" s="11"/>
      <c r="K42" s="11"/>
      <c r="L42" s="11"/>
      <c r="M42" s="11"/>
      <c r="N42" s="11"/>
      <c r="P42" s="11"/>
      <c r="Q42" s="11"/>
      <c r="R42" s="11"/>
      <c r="S42" s="11"/>
      <c r="T42" s="11"/>
      <c r="U42" s="11"/>
      <c r="V42" s="11"/>
      <c r="W42" s="11"/>
      <c r="X42" s="11"/>
      <c r="Y42" s="11"/>
      <c r="Z42" s="11"/>
      <c r="AA42" s="16"/>
    </row>
    <row r="43" spans="2:27" ht="7.05" customHeight="1" x14ac:dyDescent="0.25">
      <c r="B43" s="8"/>
      <c r="C43" s="11"/>
      <c r="D43" s="11"/>
      <c r="E43" s="11"/>
      <c r="F43" s="11"/>
      <c r="G43" s="11"/>
      <c r="H43" s="11"/>
      <c r="I43" s="11"/>
      <c r="J43" s="11"/>
      <c r="K43" s="11"/>
      <c r="L43" s="11"/>
      <c r="M43" s="11"/>
      <c r="N43" s="11"/>
      <c r="P43" s="11"/>
      <c r="Q43" s="11"/>
      <c r="R43" s="11"/>
      <c r="S43" s="11"/>
      <c r="T43" s="11"/>
      <c r="U43" s="11"/>
      <c r="V43" s="11"/>
      <c r="W43" s="11"/>
      <c r="X43" s="11"/>
      <c r="Y43" s="11"/>
      <c r="Z43" s="11"/>
      <c r="AA43" s="16"/>
    </row>
    <row r="44" spans="2:27" x14ac:dyDescent="0.25">
      <c r="B44" s="9" t="s">
        <v>15</v>
      </c>
      <c r="C44" s="29" t="s">
        <v>44</v>
      </c>
      <c r="D44" s="11">
        <f>D33*D38</f>
        <v>400</v>
      </c>
      <c r="E44" s="11">
        <f t="shared" ref="E44:O44" si="33">E33*E38</f>
        <v>428.40000000000003</v>
      </c>
      <c r="F44" s="11">
        <f t="shared" si="33"/>
        <v>436.8</v>
      </c>
      <c r="G44" s="11">
        <f t="shared" si="33"/>
        <v>445.20000000000005</v>
      </c>
      <c r="H44" s="11">
        <f t="shared" si="33"/>
        <v>475.2</v>
      </c>
      <c r="I44" s="11">
        <f t="shared" si="33"/>
        <v>484</v>
      </c>
      <c r="J44" s="11">
        <f t="shared" si="33"/>
        <v>492.79999999999995</v>
      </c>
      <c r="K44" s="11">
        <f t="shared" si="33"/>
        <v>524.4</v>
      </c>
      <c r="L44" s="11">
        <f t="shared" si="33"/>
        <v>533.6</v>
      </c>
      <c r="M44" s="11">
        <f t="shared" si="33"/>
        <v>542.79999999999995</v>
      </c>
      <c r="N44" s="11">
        <f t="shared" si="33"/>
        <v>576</v>
      </c>
      <c r="O44" s="16">
        <f t="shared" si="33"/>
        <v>585.6</v>
      </c>
      <c r="P44" s="16">
        <f t="shared" ref="P44:AA44" si="34">P33*P38</f>
        <v>595.20000000000005</v>
      </c>
      <c r="Q44" s="16">
        <f t="shared" si="34"/>
        <v>630</v>
      </c>
      <c r="R44" s="16">
        <f t="shared" si="34"/>
        <v>640</v>
      </c>
      <c r="S44" s="16">
        <f t="shared" si="34"/>
        <v>650</v>
      </c>
      <c r="T44" s="16">
        <f t="shared" si="34"/>
        <v>686.4</v>
      </c>
      <c r="U44" s="16">
        <f t="shared" si="34"/>
        <v>696.8</v>
      </c>
      <c r="V44" s="16">
        <f t="shared" si="34"/>
        <v>707.19999999999993</v>
      </c>
      <c r="W44" s="16">
        <f t="shared" si="34"/>
        <v>745.2</v>
      </c>
      <c r="X44" s="16">
        <f t="shared" si="34"/>
        <v>756</v>
      </c>
      <c r="Y44" s="16">
        <f t="shared" si="34"/>
        <v>766.8</v>
      </c>
      <c r="Z44" s="16">
        <f t="shared" si="34"/>
        <v>806.4</v>
      </c>
      <c r="AA44" s="16">
        <f t="shared" si="34"/>
        <v>817.6</v>
      </c>
    </row>
    <row r="45" spans="2:27" x14ac:dyDescent="0.25">
      <c r="B45" s="12" t="s">
        <v>16</v>
      </c>
      <c r="C45" s="31" t="s">
        <v>44</v>
      </c>
      <c r="D45" s="11">
        <f>D34*D39</f>
        <v>50</v>
      </c>
      <c r="E45" s="11">
        <f t="shared" ref="E45:O45" si="35">E34*E39</f>
        <v>57.199999999999996</v>
      </c>
      <c r="F45" s="11">
        <f t="shared" si="35"/>
        <v>59.4</v>
      </c>
      <c r="G45" s="11">
        <f t="shared" si="35"/>
        <v>61.599999999999994</v>
      </c>
      <c r="H45" s="11">
        <f t="shared" si="35"/>
        <v>69.600000000000009</v>
      </c>
      <c r="I45" s="11">
        <f t="shared" si="35"/>
        <v>72</v>
      </c>
      <c r="J45" s="11">
        <f t="shared" si="35"/>
        <v>74.400000000000006</v>
      </c>
      <c r="K45" s="11">
        <f t="shared" si="35"/>
        <v>83.2</v>
      </c>
      <c r="L45" s="11">
        <f t="shared" si="35"/>
        <v>85.8</v>
      </c>
      <c r="M45" s="11">
        <f t="shared" si="35"/>
        <v>88.399999999999991</v>
      </c>
      <c r="N45" s="11">
        <f t="shared" si="35"/>
        <v>98</v>
      </c>
      <c r="O45" s="16">
        <f t="shared" si="35"/>
        <v>100.8</v>
      </c>
      <c r="P45" s="16">
        <f t="shared" ref="P45:AA45" si="36">P34*P39</f>
        <v>103.60000000000001</v>
      </c>
      <c r="Q45" s="16">
        <f t="shared" si="36"/>
        <v>114</v>
      </c>
      <c r="R45" s="16">
        <f t="shared" si="36"/>
        <v>117</v>
      </c>
      <c r="S45" s="16">
        <f t="shared" si="36"/>
        <v>120</v>
      </c>
      <c r="T45" s="16">
        <f t="shared" si="36"/>
        <v>131.19999999999999</v>
      </c>
      <c r="U45" s="16">
        <f t="shared" si="36"/>
        <v>134.4</v>
      </c>
      <c r="V45" s="16">
        <f t="shared" si="36"/>
        <v>137.6</v>
      </c>
      <c r="W45" s="16">
        <f t="shared" si="36"/>
        <v>149.60000000000002</v>
      </c>
      <c r="X45" s="16">
        <f t="shared" si="36"/>
        <v>153</v>
      </c>
      <c r="Y45" s="16">
        <f t="shared" si="36"/>
        <v>156.4</v>
      </c>
      <c r="Z45" s="16">
        <f t="shared" si="36"/>
        <v>169.2</v>
      </c>
      <c r="AA45" s="16">
        <f t="shared" si="36"/>
        <v>172.79999999999998</v>
      </c>
    </row>
    <row r="46" spans="2:27" x14ac:dyDescent="0.25">
      <c r="B46" s="14" t="s">
        <v>21</v>
      </c>
      <c r="C46" s="30" t="s">
        <v>44</v>
      </c>
      <c r="D46" s="71">
        <f>SUM(D44:D45)</f>
        <v>450</v>
      </c>
      <c r="E46" s="71">
        <f t="shared" ref="E46" si="37">SUM(E44:E45)</f>
        <v>485.6</v>
      </c>
      <c r="F46" s="71">
        <f t="shared" ref="F46" si="38">SUM(F44:F45)</f>
        <v>496.2</v>
      </c>
      <c r="G46" s="71">
        <f t="shared" ref="G46" si="39">SUM(G44:G45)</f>
        <v>506.80000000000007</v>
      </c>
      <c r="H46" s="71">
        <f t="shared" ref="H46" si="40">SUM(H44:H45)</f>
        <v>544.79999999999995</v>
      </c>
      <c r="I46" s="71">
        <f t="shared" ref="I46" si="41">SUM(I44:I45)</f>
        <v>556</v>
      </c>
      <c r="J46" s="71">
        <f t="shared" ref="J46" si="42">SUM(J44:J45)</f>
        <v>567.19999999999993</v>
      </c>
      <c r="K46" s="71">
        <f t="shared" ref="K46" si="43">SUM(K44:K45)</f>
        <v>607.6</v>
      </c>
      <c r="L46" s="71">
        <f t="shared" ref="L46" si="44">SUM(L44:L45)</f>
        <v>619.4</v>
      </c>
      <c r="M46" s="71">
        <f t="shared" ref="M46" si="45">SUM(M44:M45)</f>
        <v>631.19999999999993</v>
      </c>
      <c r="N46" s="71">
        <f t="shared" ref="N46" si="46">SUM(N44:N45)</f>
        <v>674</v>
      </c>
      <c r="O46" s="72">
        <f t="shared" ref="O46:AA46" si="47">SUM(O44:O45)</f>
        <v>686.4</v>
      </c>
      <c r="P46" s="72">
        <f t="shared" si="47"/>
        <v>698.80000000000007</v>
      </c>
      <c r="Q46" s="72">
        <f t="shared" si="47"/>
        <v>744</v>
      </c>
      <c r="R46" s="72">
        <f t="shared" si="47"/>
        <v>757</v>
      </c>
      <c r="S46" s="72">
        <f t="shared" si="47"/>
        <v>770</v>
      </c>
      <c r="T46" s="72">
        <f t="shared" si="47"/>
        <v>817.59999999999991</v>
      </c>
      <c r="U46" s="72">
        <f t="shared" si="47"/>
        <v>831.19999999999993</v>
      </c>
      <c r="V46" s="72">
        <f t="shared" si="47"/>
        <v>844.8</v>
      </c>
      <c r="W46" s="72">
        <f t="shared" si="47"/>
        <v>894.80000000000007</v>
      </c>
      <c r="X46" s="72">
        <f t="shared" si="47"/>
        <v>909</v>
      </c>
      <c r="Y46" s="72">
        <f t="shared" si="47"/>
        <v>923.19999999999993</v>
      </c>
      <c r="Z46" s="72">
        <f t="shared" si="47"/>
        <v>975.59999999999991</v>
      </c>
      <c r="AA46" s="72">
        <f t="shared" si="47"/>
        <v>990.4</v>
      </c>
    </row>
    <row r="47" spans="2:27" ht="7.05" customHeight="1" x14ac:dyDescent="0.25">
      <c r="B47" s="8"/>
      <c r="C47" s="11"/>
      <c r="D47" s="11"/>
      <c r="E47" s="11"/>
      <c r="F47" s="11"/>
      <c r="G47" s="11"/>
      <c r="H47" s="11"/>
      <c r="I47" s="11"/>
      <c r="J47" s="11"/>
      <c r="K47" s="11"/>
      <c r="L47" s="11"/>
      <c r="M47" s="11"/>
      <c r="N47" s="11"/>
      <c r="P47" s="11"/>
      <c r="Q47" s="11"/>
      <c r="R47" s="11"/>
      <c r="S47" s="11"/>
      <c r="T47" s="11"/>
      <c r="U47" s="11"/>
      <c r="V47" s="11"/>
      <c r="W47" s="11"/>
      <c r="X47" s="11"/>
      <c r="Y47" s="11"/>
      <c r="Z47" s="11"/>
      <c r="AA47" s="16"/>
    </row>
    <row r="48" spans="2:27" x14ac:dyDescent="0.25">
      <c r="B48" s="10" t="s">
        <v>22</v>
      </c>
      <c r="C48" s="11"/>
      <c r="D48" s="11"/>
      <c r="E48" s="11"/>
      <c r="F48" s="11"/>
      <c r="G48" s="11"/>
      <c r="H48" s="11"/>
      <c r="I48" s="11"/>
      <c r="J48" s="11"/>
      <c r="K48" s="11"/>
      <c r="L48" s="11"/>
      <c r="M48" s="11"/>
      <c r="N48" s="11"/>
      <c r="P48" s="11"/>
      <c r="Q48" s="11"/>
      <c r="R48" s="11"/>
      <c r="S48" s="11"/>
      <c r="T48" s="11"/>
      <c r="U48" s="11"/>
      <c r="V48" s="11"/>
      <c r="W48" s="11"/>
      <c r="X48" s="11"/>
      <c r="Y48" s="11"/>
      <c r="Z48" s="11"/>
      <c r="AA48" s="16"/>
    </row>
    <row r="49" spans="2:27" ht="7.05" customHeight="1" x14ac:dyDescent="0.25">
      <c r="B49" s="8"/>
      <c r="C49" s="11"/>
      <c r="D49" s="11"/>
      <c r="E49" s="11"/>
      <c r="F49" s="11"/>
      <c r="G49" s="11"/>
      <c r="H49" s="11"/>
      <c r="I49" s="11"/>
      <c r="J49" s="11"/>
      <c r="K49" s="11"/>
      <c r="L49" s="11"/>
      <c r="M49" s="11"/>
      <c r="N49" s="11"/>
      <c r="P49" s="11"/>
      <c r="Q49" s="11"/>
      <c r="R49" s="11"/>
      <c r="S49" s="11"/>
      <c r="T49" s="11"/>
      <c r="U49" s="11"/>
      <c r="V49" s="11"/>
      <c r="W49" s="11"/>
      <c r="X49" s="11"/>
      <c r="Y49" s="11"/>
      <c r="Z49" s="11"/>
      <c r="AA49" s="16"/>
    </row>
    <row r="50" spans="2:27" x14ac:dyDescent="0.25">
      <c r="B50" s="9" t="s">
        <v>23</v>
      </c>
      <c r="C50" s="44" t="s">
        <v>46</v>
      </c>
      <c r="D50" s="51">
        <v>100</v>
      </c>
      <c r="E50" s="51">
        <v>100</v>
      </c>
      <c r="F50" s="51">
        <v>100</v>
      </c>
      <c r="G50" s="51">
        <v>100</v>
      </c>
      <c r="H50" s="51">
        <v>100</v>
      </c>
      <c r="I50" s="51">
        <v>100</v>
      </c>
      <c r="J50" s="51">
        <v>100</v>
      </c>
      <c r="K50" s="51">
        <v>100</v>
      </c>
      <c r="L50" s="51">
        <v>100</v>
      </c>
      <c r="M50" s="51">
        <v>100</v>
      </c>
      <c r="N50" s="51">
        <v>100</v>
      </c>
      <c r="O50" s="51">
        <v>100</v>
      </c>
      <c r="P50" s="51">
        <v>102</v>
      </c>
      <c r="Q50" s="51">
        <v>102</v>
      </c>
      <c r="R50" s="51">
        <v>102</v>
      </c>
      <c r="S50" s="51">
        <v>102</v>
      </c>
      <c r="T50" s="51">
        <v>102</v>
      </c>
      <c r="U50" s="51">
        <v>102</v>
      </c>
      <c r="V50" s="51">
        <v>102</v>
      </c>
      <c r="W50" s="51">
        <v>102</v>
      </c>
      <c r="X50" s="51">
        <v>102</v>
      </c>
      <c r="Y50" s="51">
        <v>102</v>
      </c>
      <c r="Z50" s="51">
        <v>102</v>
      </c>
      <c r="AA50" s="51">
        <v>102</v>
      </c>
    </row>
    <row r="51" spans="2:27" x14ac:dyDescent="0.25">
      <c r="B51" s="12" t="s">
        <v>24</v>
      </c>
      <c r="C51" s="31" t="s">
        <v>44</v>
      </c>
      <c r="D51" s="43">
        <v>1</v>
      </c>
      <c r="E51" s="43">
        <v>1</v>
      </c>
      <c r="F51" s="43">
        <v>1</v>
      </c>
      <c r="G51" s="43">
        <v>1</v>
      </c>
      <c r="H51" s="43">
        <v>1</v>
      </c>
      <c r="I51" s="43">
        <v>1</v>
      </c>
      <c r="J51" s="43">
        <v>1</v>
      </c>
      <c r="K51" s="43">
        <v>1</v>
      </c>
      <c r="L51" s="43">
        <v>1</v>
      </c>
      <c r="M51" s="43">
        <v>1</v>
      </c>
      <c r="N51" s="43">
        <v>1</v>
      </c>
      <c r="O51" s="68">
        <v>1</v>
      </c>
      <c r="P51" s="43">
        <v>2</v>
      </c>
      <c r="Q51" s="43">
        <v>2</v>
      </c>
      <c r="R51" s="43">
        <v>2</v>
      </c>
      <c r="S51" s="43">
        <v>2</v>
      </c>
      <c r="T51" s="43">
        <v>2</v>
      </c>
      <c r="U51" s="43">
        <v>2</v>
      </c>
      <c r="V51" s="43">
        <v>2</v>
      </c>
      <c r="W51" s="43">
        <v>2</v>
      </c>
      <c r="X51" s="43">
        <v>2</v>
      </c>
      <c r="Y51" s="43">
        <v>2</v>
      </c>
      <c r="Z51" s="43">
        <v>2</v>
      </c>
      <c r="AA51" s="68">
        <v>2</v>
      </c>
    </row>
    <row r="52" spans="2:27" x14ac:dyDescent="0.25">
      <c r="B52" s="14" t="s">
        <v>25</v>
      </c>
      <c r="C52" s="33" t="s">
        <v>46</v>
      </c>
      <c r="D52" s="84">
        <f t="shared" ref="D52:AA52" si="48">D50*D51</f>
        <v>100</v>
      </c>
      <c r="E52" s="84">
        <f t="shared" si="48"/>
        <v>100</v>
      </c>
      <c r="F52" s="84">
        <f t="shared" si="48"/>
        <v>100</v>
      </c>
      <c r="G52" s="84">
        <f t="shared" si="48"/>
        <v>100</v>
      </c>
      <c r="H52" s="84">
        <f t="shared" si="48"/>
        <v>100</v>
      </c>
      <c r="I52" s="84">
        <f t="shared" si="48"/>
        <v>100</v>
      </c>
      <c r="J52" s="84">
        <f t="shared" si="48"/>
        <v>100</v>
      </c>
      <c r="K52" s="84">
        <f t="shared" si="48"/>
        <v>100</v>
      </c>
      <c r="L52" s="84">
        <f t="shared" si="48"/>
        <v>100</v>
      </c>
      <c r="M52" s="84">
        <f t="shared" si="48"/>
        <v>100</v>
      </c>
      <c r="N52" s="84">
        <f t="shared" si="48"/>
        <v>100</v>
      </c>
      <c r="O52" s="85">
        <f t="shared" si="48"/>
        <v>100</v>
      </c>
      <c r="P52" s="85">
        <f t="shared" si="48"/>
        <v>204</v>
      </c>
      <c r="Q52" s="85">
        <f t="shared" si="48"/>
        <v>204</v>
      </c>
      <c r="R52" s="85">
        <f t="shared" si="48"/>
        <v>204</v>
      </c>
      <c r="S52" s="85">
        <f t="shared" si="48"/>
        <v>204</v>
      </c>
      <c r="T52" s="85">
        <f t="shared" si="48"/>
        <v>204</v>
      </c>
      <c r="U52" s="85">
        <f t="shared" si="48"/>
        <v>204</v>
      </c>
      <c r="V52" s="85">
        <f t="shared" si="48"/>
        <v>204</v>
      </c>
      <c r="W52" s="85">
        <f t="shared" si="48"/>
        <v>204</v>
      </c>
      <c r="X52" s="85">
        <f t="shared" si="48"/>
        <v>204</v>
      </c>
      <c r="Y52" s="85">
        <f t="shared" si="48"/>
        <v>204</v>
      </c>
      <c r="Z52" s="85">
        <f t="shared" si="48"/>
        <v>204</v>
      </c>
      <c r="AA52" s="85">
        <f t="shared" si="48"/>
        <v>204</v>
      </c>
    </row>
    <row r="54" spans="2:27" x14ac:dyDescent="0.25">
      <c r="B54" s="7" t="s">
        <v>13</v>
      </c>
      <c r="C54" s="3"/>
      <c r="D54" s="100" t="s">
        <v>39</v>
      </c>
      <c r="E54" s="100"/>
      <c r="F54" s="100"/>
      <c r="G54" s="100"/>
      <c r="H54" s="100"/>
      <c r="I54" s="100"/>
      <c r="J54" s="100"/>
      <c r="K54" s="100"/>
      <c r="L54" s="100"/>
      <c r="M54" s="100"/>
      <c r="N54" s="100"/>
      <c r="O54" s="100"/>
      <c r="P54" s="100"/>
      <c r="Q54" s="100"/>
      <c r="R54" s="100"/>
      <c r="S54" s="100"/>
      <c r="T54" s="100"/>
      <c r="U54" s="100"/>
      <c r="V54" s="100"/>
      <c r="W54" s="100"/>
      <c r="X54" s="100"/>
      <c r="Y54" s="100"/>
      <c r="Z54" s="100"/>
      <c r="AA54" s="100"/>
    </row>
    <row r="55" spans="2:27" ht="7.05" customHeight="1" x14ac:dyDescent="0.25"/>
    <row r="56" spans="2:27" x14ac:dyDescent="0.25">
      <c r="B56" s="10" t="s">
        <v>14</v>
      </c>
      <c r="C56" s="11"/>
      <c r="D56" s="11"/>
      <c r="E56" s="11"/>
      <c r="F56" s="11"/>
      <c r="G56" s="11"/>
      <c r="H56" s="11"/>
      <c r="I56" s="11"/>
      <c r="J56" s="11"/>
      <c r="K56" s="11"/>
      <c r="L56" s="11"/>
      <c r="M56" s="11"/>
      <c r="N56" s="11"/>
      <c r="P56" s="11"/>
      <c r="Q56" s="11"/>
      <c r="R56" s="11"/>
      <c r="S56" s="11"/>
      <c r="T56" s="11"/>
      <c r="U56" s="11"/>
      <c r="V56" s="11"/>
      <c r="W56" s="11"/>
      <c r="X56" s="11"/>
      <c r="Y56" s="11"/>
      <c r="Z56" s="11"/>
      <c r="AA56" s="16"/>
    </row>
    <row r="57" spans="2:27" x14ac:dyDescent="0.25">
      <c r="B57" s="9" t="s">
        <v>15</v>
      </c>
      <c r="C57" s="29" t="s">
        <v>44</v>
      </c>
      <c r="D57" s="42">
        <v>20000</v>
      </c>
      <c r="E57" s="11">
        <f>D$57+300</f>
        <v>20300</v>
      </c>
      <c r="F57" s="11">
        <f t="shared" ref="F57:O57" si="49">E$57+300</f>
        <v>20600</v>
      </c>
      <c r="G57" s="11">
        <f t="shared" si="49"/>
        <v>20900</v>
      </c>
      <c r="H57" s="11">
        <f t="shared" si="49"/>
        <v>21200</v>
      </c>
      <c r="I57" s="11">
        <f t="shared" si="49"/>
        <v>21500</v>
      </c>
      <c r="J57" s="11">
        <f t="shared" si="49"/>
        <v>21800</v>
      </c>
      <c r="K57" s="11">
        <f t="shared" si="49"/>
        <v>22100</v>
      </c>
      <c r="L57" s="11">
        <f t="shared" si="49"/>
        <v>22400</v>
      </c>
      <c r="M57" s="11">
        <f t="shared" si="49"/>
        <v>22700</v>
      </c>
      <c r="N57" s="11">
        <f t="shared" si="49"/>
        <v>23000</v>
      </c>
      <c r="O57" s="11">
        <f t="shared" si="49"/>
        <v>23300</v>
      </c>
      <c r="P57" s="11">
        <f t="shared" ref="P57:AA57" si="50">O$57+300</f>
        <v>23600</v>
      </c>
      <c r="Q57" s="11">
        <f t="shared" si="50"/>
        <v>23900</v>
      </c>
      <c r="R57" s="11">
        <f t="shared" si="50"/>
        <v>24200</v>
      </c>
      <c r="S57" s="11">
        <f t="shared" si="50"/>
        <v>24500</v>
      </c>
      <c r="T57" s="11">
        <f t="shared" si="50"/>
        <v>24800</v>
      </c>
      <c r="U57" s="11">
        <f t="shared" si="50"/>
        <v>25100</v>
      </c>
      <c r="V57" s="11">
        <f t="shared" si="50"/>
        <v>25400</v>
      </c>
      <c r="W57" s="11">
        <f t="shared" si="50"/>
        <v>25700</v>
      </c>
      <c r="X57" s="11">
        <f t="shared" si="50"/>
        <v>26000</v>
      </c>
      <c r="Y57" s="11">
        <f t="shared" si="50"/>
        <v>26300</v>
      </c>
      <c r="Z57" s="11">
        <f t="shared" si="50"/>
        <v>26600</v>
      </c>
      <c r="AA57" s="16">
        <f t="shared" si="50"/>
        <v>26900</v>
      </c>
    </row>
    <row r="58" spans="2:27" x14ac:dyDescent="0.25">
      <c r="B58" s="12" t="s">
        <v>16</v>
      </c>
      <c r="C58" s="29" t="s">
        <v>44</v>
      </c>
      <c r="D58" s="43">
        <v>5000</v>
      </c>
      <c r="E58" s="13">
        <f>D$58+300</f>
        <v>5300</v>
      </c>
      <c r="F58" s="13">
        <f t="shared" ref="F58:AA58" si="51">E$58+300</f>
        <v>5600</v>
      </c>
      <c r="G58" s="13">
        <f t="shared" si="51"/>
        <v>5900</v>
      </c>
      <c r="H58" s="13">
        <f t="shared" si="51"/>
        <v>6200</v>
      </c>
      <c r="I58" s="13">
        <f t="shared" si="51"/>
        <v>6500</v>
      </c>
      <c r="J58" s="13">
        <f t="shared" si="51"/>
        <v>6800</v>
      </c>
      <c r="K58" s="13">
        <f t="shared" si="51"/>
        <v>7100</v>
      </c>
      <c r="L58" s="13">
        <f t="shared" si="51"/>
        <v>7400</v>
      </c>
      <c r="M58" s="13">
        <f t="shared" si="51"/>
        <v>7700</v>
      </c>
      <c r="N58" s="13">
        <f t="shared" si="51"/>
        <v>8000</v>
      </c>
      <c r="O58" s="13">
        <f t="shared" si="51"/>
        <v>8300</v>
      </c>
      <c r="P58" s="13">
        <f t="shared" si="51"/>
        <v>8600</v>
      </c>
      <c r="Q58" s="13">
        <f t="shared" si="51"/>
        <v>8900</v>
      </c>
      <c r="R58" s="13">
        <f t="shared" si="51"/>
        <v>9200</v>
      </c>
      <c r="S58" s="13">
        <f t="shared" si="51"/>
        <v>9500</v>
      </c>
      <c r="T58" s="13">
        <f t="shared" si="51"/>
        <v>9800</v>
      </c>
      <c r="U58" s="13">
        <f t="shared" si="51"/>
        <v>10100</v>
      </c>
      <c r="V58" s="13">
        <f t="shared" si="51"/>
        <v>10400</v>
      </c>
      <c r="W58" s="13">
        <f t="shared" si="51"/>
        <v>10700</v>
      </c>
      <c r="X58" s="13">
        <f t="shared" si="51"/>
        <v>11000</v>
      </c>
      <c r="Y58" s="13">
        <f t="shared" si="51"/>
        <v>11300</v>
      </c>
      <c r="Z58" s="13">
        <f t="shared" si="51"/>
        <v>11600</v>
      </c>
      <c r="AA58" s="13">
        <f t="shared" si="51"/>
        <v>11900</v>
      </c>
    </row>
    <row r="59" spans="2:27" x14ac:dyDescent="0.25">
      <c r="B59" s="14" t="s">
        <v>17</v>
      </c>
      <c r="C59" s="30" t="s">
        <v>44</v>
      </c>
      <c r="D59" s="71">
        <f>SUM(D57:D58)</f>
        <v>25000</v>
      </c>
      <c r="E59" s="71">
        <f t="shared" ref="E59:O59" si="52">SUM(E57:E58)</f>
        <v>25600</v>
      </c>
      <c r="F59" s="71">
        <f t="shared" si="52"/>
        <v>26200</v>
      </c>
      <c r="G59" s="71">
        <f t="shared" si="52"/>
        <v>26800</v>
      </c>
      <c r="H59" s="71">
        <f t="shared" si="52"/>
        <v>27400</v>
      </c>
      <c r="I59" s="71">
        <f t="shared" si="52"/>
        <v>28000</v>
      </c>
      <c r="J59" s="71">
        <f t="shared" si="52"/>
        <v>28600</v>
      </c>
      <c r="K59" s="71">
        <f t="shared" si="52"/>
        <v>29200</v>
      </c>
      <c r="L59" s="71">
        <f t="shared" si="52"/>
        <v>29800</v>
      </c>
      <c r="M59" s="71">
        <f t="shared" si="52"/>
        <v>30400</v>
      </c>
      <c r="N59" s="71">
        <f t="shared" si="52"/>
        <v>31000</v>
      </c>
      <c r="O59" s="72">
        <f t="shared" si="52"/>
        <v>31600</v>
      </c>
      <c r="P59" s="72">
        <f t="shared" ref="P59:AA59" si="53">SUM(P57:P58)</f>
        <v>32200</v>
      </c>
      <c r="Q59" s="72">
        <f t="shared" si="53"/>
        <v>32800</v>
      </c>
      <c r="R59" s="72">
        <f t="shared" si="53"/>
        <v>33400</v>
      </c>
      <c r="S59" s="72">
        <f t="shared" si="53"/>
        <v>34000</v>
      </c>
      <c r="T59" s="72">
        <f t="shared" si="53"/>
        <v>34600</v>
      </c>
      <c r="U59" s="72">
        <f t="shared" si="53"/>
        <v>35200</v>
      </c>
      <c r="V59" s="72">
        <f t="shared" si="53"/>
        <v>35800</v>
      </c>
      <c r="W59" s="72">
        <f t="shared" si="53"/>
        <v>36400</v>
      </c>
      <c r="X59" s="72">
        <f t="shared" si="53"/>
        <v>37000</v>
      </c>
      <c r="Y59" s="72">
        <f t="shared" si="53"/>
        <v>37600</v>
      </c>
      <c r="Z59" s="72">
        <f t="shared" si="53"/>
        <v>38200</v>
      </c>
      <c r="AA59" s="72">
        <f t="shared" si="53"/>
        <v>38800</v>
      </c>
    </row>
    <row r="60" spans="2:27" ht="7.05" customHeight="1" x14ac:dyDescent="0.25">
      <c r="B60" s="8"/>
      <c r="C60" s="11"/>
      <c r="D60" s="11"/>
      <c r="E60" s="11"/>
      <c r="F60" s="11"/>
      <c r="G60" s="11"/>
      <c r="H60" s="11"/>
      <c r="I60" s="11"/>
      <c r="J60" s="11"/>
      <c r="K60" s="11"/>
      <c r="L60" s="11"/>
      <c r="M60" s="11"/>
      <c r="N60" s="11"/>
      <c r="P60" s="11"/>
      <c r="Q60" s="11"/>
      <c r="R60" s="11"/>
      <c r="S60" s="11"/>
      <c r="T60" s="11"/>
      <c r="U60" s="11"/>
      <c r="V60" s="11"/>
      <c r="W60" s="11"/>
      <c r="X60" s="11"/>
      <c r="Y60" s="11"/>
      <c r="Z60" s="11"/>
      <c r="AA60" s="16"/>
    </row>
    <row r="61" spans="2:27" x14ac:dyDescent="0.25">
      <c r="B61" s="10" t="s">
        <v>18</v>
      </c>
      <c r="C61" s="11"/>
      <c r="D61" s="11"/>
      <c r="E61" s="11"/>
      <c r="F61" s="11"/>
      <c r="G61" s="11"/>
      <c r="H61" s="11"/>
      <c r="I61" s="11"/>
      <c r="J61" s="11"/>
      <c r="K61" s="11"/>
      <c r="L61" s="11"/>
      <c r="M61" s="11"/>
      <c r="N61" s="11"/>
      <c r="P61" s="11"/>
      <c r="Q61" s="11"/>
      <c r="R61" s="11"/>
      <c r="S61" s="11"/>
      <c r="T61" s="11"/>
      <c r="U61" s="11"/>
      <c r="V61" s="11"/>
      <c r="W61" s="11"/>
      <c r="X61" s="11"/>
      <c r="Y61" s="11"/>
      <c r="Z61" s="11"/>
      <c r="AA61" s="16"/>
    </row>
    <row r="62" spans="2:27" x14ac:dyDescent="0.25">
      <c r="B62" s="9" t="s">
        <v>15</v>
      </c>
      <c r="C62" s="29" t="s">
        <v>45</v>
      </c>
      <c r="D62" s="36">
        <v>1.4999999999999999E-2</v>
      </c>
      <c r="E62" s="36">
        <v>1.4999999999999999E-2</v>
      </c>
      <c r="F62" s="36">
        <v>1.4999999999999999E-2</v>
      </c>
      <c r="G62" s="36">
        <v>1.4999999999999999E-2</v>
      </c>
      <c r="H62" s="36">
        <v>1.6E-2</v>
      </c>
      <c r="I62" s="36">
        <v>1.6E-2</v>
      </c>
      <c r="J62" s="36">
        <v>1.6E-2</v>
      </c>
      <c r="K62" s="36">
        <v>1.7000000000000001E-2</v>
      </c>
      <c r="L62" s="36">
        <v>1.7000000000000001E-2</v>
      </c>
      <c r="M62" s="36">
        <v>1.7000000000000001E-2</v>
      </c>
      <c r="N62" s="36">
        <v>1.7999999999999999E-2</v>
      </c>
      <c r="O62" s="36">
        <v>1.7999999999999999E-2</v>
      </c>
      <c r="P62" s="36">
        <v>1.7999999999999999E-2</v>
      </c>
      <c r="Q62" s="36">
        <v>1.9E-2</v>
      </c>
      <c r="R62" s="36">
        <v>1.9E-2</v>
      </c>
      <c r="S62" s="36">
        <v>1.9E-2</v>
      </c>
      <c r="T62" s="36">
        <v>0.02</v>
      </c>
      <c r="U62" s="36">
        <v>0.02</v>
      </c>
      <c r="V62" s="36">
        <v>0.02</v>
      </c>
      <c r="W62" s="36">
        <v>2.1000000000000001E-2</v>
      </c>
      <c r="X62" s="36">
        <v>2.1000000000000001E-2</v>
      </c>
      <c r="Y62" s="36">
        <v>2.1000000000000001E-2</v>
      </c>
      <c r="Z62" s="36">
        <v>2.1999999999999999E-2</v>
      </c>
      <c r="AA62" s="36">
        <v>2.1999999999999999E-2</v>
      </c>
    </row>
    <row r="63" spans="2:27" x14ac:dyDescent="0.25">
      <c r="B63" s="12" t="s">
        <v>16</v>
      </c>
      <c r="C63" s="31" t="s">
        <v>45</v>
      </c>
      <c r="D63" s="38">
        <v>5.0000000000000001E-3</v>
      </c>
      <c r="E63" s="38">
        <v>6.0000000000000001E-3</v>
      </c>
      <c r="F63" s="38">
        <v>6.0000000000000001E-3</v>
      </c>
      <c r="G63" s="38">
        <v>6.0000000000000001E-3</v>
      </c>
      <c r="H63" s="38">
        <v>7.0000000000000001E-3</v>
      </c>
      <c r="I63" s="38">
        <v>7.0000000000000001E-3</v>
      </c>
      <c r="J63" s="38">
        <v>7.0000000000000001E-3</v>
      </c>
      <c r="K63" s="38">
        <v>8.0000000000000002E-3</v>
      </c>
      <c r="L63" s="38">
        <v>8.0000000000000002E-3</v>
      </c>
      <c r="M63" s="38">
        <v>8.0000000000000002E-3</v>
      </c>
      <c r="N63" s="38">
        <v>8.9999999999999993E-3</v>
      </c>
      <c r="O63" s="38">
        <v>8.9999999999999993E-3</v>
      </c>
      <c r="P63" s="38">
        <v>8.9999999999999993E-3</v>
      </c>
      <c r="Q63" s="38">
        <v>0.01</v>
      </c>
      <c r="R63" s="38">
        <v>0.01</v>
      </c>
      <c r="S63" s="38">
        <v>0.01</v>
      </c>
      <c r="T63" s="38">
        <v>1.0999999999999999E-2</v>
      </c>
      <c r="U63" s="38">
        <v>1.0999999999999999E-2</v>
      </c>
      <c r="V63" s="38">
        <v>1.0999999999999999E-2</v>
      </c>
      <c r="W63" s="38">
        <v>1.2E-2</v>
      </c>
      <c r="X63" s="38">
        <v>1.2E-2</v>
      </c>
      <c r="Y63" s="38">
        <v>1.2E-2</v>
      </c>
      <c r="Z63" s="38">
        <v>1.2999999999999999E-2</v>
      </c>
      <c r="AA63" s="38">
        <v>1.2999999999999999E-2</v>
      </c>
    </row>
    <row r="64" spans="2:27" x14ac:dyDescent="0.25">
      <c r="B64" s="14" t="s">
        <v>19</v>
      </c>
      <c r="C64" s="30" t="s">
        <v>45</v>
      </c>
      <c r="D64" s="82">
        <f>AVERAGE(D62,D63)</f>
        <v>0.01</v>
      </c>
      <c r="E64" s="82">
        <f t="shared" ref="E64:AA64" si="54">AVERAGE(E62,E63)</f>
        <v>1.0499999999999999E-2</v>
      </c>
      <c r="F64" s="82">
        <f t="shared" si="54"/>
        <v>1.0499999999999999E-2</v>
      </c>
      <c r="G64" s="82">
        <f t="shared" si="54"/>
        <v>1.0499999999999999E-2</v>
      </c>
      <c r="H64" s="82">
        <f t="shared" si="54"/>
        <v>1.15E-2</v>
      </c>
      <c r="I64" s="82">
        <f t="shared" si="54"/>
        <v>1.15E-2</v>
      </c>
      <c r="J64" s="82">
        <f t="shared" si="54"/>
        <v>1.15E-2</v>
      </c>
      <c r="K64" s="82">
        <f t="shared" si="54"/>
        <v>1.2500000000000001E-2</v>
      </c>
      <c r="L64" s="82">
        <f t="shared" si="54"/>
        <v>1.2500000000000001E-2</v>
      </c>
      <c r="M64" s="82">
        <f t="shared" si="54"/>
        <v>1.2500000000000001E-2</v>
      </c>
      <c r="N64" s="82">
        <f t="shared" si="54"/>
        <v>1.3499999999999998E-2</v>
      </c>
      <c r="O64" s="83">
        <f t="shared" si="54"/>
        <v>1.3499999999999998E-2</v>
      </c>
      <c r="P64" s="83">
        <f t="shared" si="54"/>
        <v>1.3499999999999998E-2</v>
      </c>
      <c r="Q64" s="83">
        <f t="shared" si="54"/>
        <v>1.4499999999999999E-2</v>
      </c>
      <c r="R64" s="83">
        <f t="shared" si="54"/>
        <v>1.4499999999999999E-2</v>
      </c>
      <c r="S64" s="83">
        <f t="shared" si="54"/>
        <v>1.4499999999999999E-2</v>
      </c>
      <c r="T64" s="83">
        <f t="shared" si="54"/>
        <v>1.55E-2</v>
      </c>
      <c r="U64" s="83">
        <f t="shared" si="54"/>
        <v>1.55E-2</v>
      </c>
      <c r="V64" s="83">
        <f t="shared" si="54"/>
        <v>1.55E-2</v>
      </c>
      <c r="W64" s="83">
        <f t="shared" si="54"/>
        <v>1.6500000000000001E-2</v>
      </c>
      <c r="X64" s="83">
        <f t="shared" si="54"/>
        <v>1.6500000000000001E-2</v>
      </c>
      <c r="Y64" s="83">
        <f t="shared" si="54"/>
        <v>1.6500000000000001E-2</v>
      </c>
      <c r="Z64" s="83">
        <f t="shared" si="54"/>
        <v>1.7499999999999998E-2</v>
      </c>
      <c r="AA64" s="83">
        <f t="shared" si="54"/>
        <v>1.7499999999999998E-2</v>
      </c>
    </row>
    <row r="65" spans="2:27" ht="7.05" customHeight="1" x14ac:dyDescent="0.25">
      <c r="B65" s="8"/>
      <c r="C65" s="11"/>
      <c r="D65" s="11"/>
      <c r="E65" s="11"/>
      <c r="F65" s="11"/>
      <c r="G65" s="11"/>
      <c r="H65" s="11"/>
      <c r="I65" s="11"/>
      <c r="J65" s="11"/>
      <c r="K65" s="11"/>
      <c r="L65" s="11"/>
      <c r="M65" s="11"/>
      <c r="N65" s="11"/>
      <c r="P65" s="11"/>
      <c r="Q65" s="11"/>
      <c r="R65" s="11"/>
      <c r="S65" s="11"/>
      <c r="T65" s="11"/>
      <c r="U65" s="11"/>
      <c r="V65" s="11"/>
      <c r="W65" s="11"/>
      <c r="X65" s="11"/>
      <c r="Y65" s="11"/>
      <c r="Z65" s="11"/>
      <c r="AA65" s="16"/>
    </row>
    <row r="66" spans="2:27" x14ac:dyDescent="0.25">
      <c r="B66" s="10" t="s">
        <v>20</v>
      </c>
      <c r="C66" s="11"/>
      <c r="D66" s="11"/>
      <c r="E66" s="11"/>
      <c r="F66" s="11"/>
      <c r="G66" s="11"/>
      <c r="H66" s="11"/>
      <c r="I66" s="11"/>
      <c r="J66" s="11"/>
      <c r="K66" s="11"/>
      <c r="L66" s="11"/>
      <c r="M66" s="11"/>
      <c r="N66" s="11"/>
      <c r="P66" s="11"/>
      <c r="Q66" s="11"/>
      <c r="R66" s="11"/>
      <c r="S66" s="11"/>
      <c r="T66" s="11"/>
      <c r="U66" s="11"/>
      <c r="V66" s="11"/>
      <c r="W66" s="11"/>
      <c r="X66" s="11"/>
      <c r="Y66" s="11"/>
      <c r="Z66" s="11"/>
      <c r="AA66" s="16"/>
    </row>
    <row r="67" spans="2:27" ht="7.05" customHeight="1" x14ac:dyDescent="0.25">
      <c r="B67" s="8"/>
      <c r="C67" s="11"/>
      <c r="D67" s="11"/>
      <c r="E67" s="11"/>
      <c r="F67" s="11"/>
      <c r="G67" s="11"/>
      <c r="H67" s="11"/>
      <c r="I67" s="11"/>
      <c r="J67" s="11"/>
      <c r="K67" s="11"/>
      <c r="L67" s="11"/>
      <c r="M67" s="11"/>
      <c r="N67" s="11"/>
      <c r="P67" s="11"/>
      <c r="Q67" s="11"/>
      <c r="R67" s="11"/>
      <c r="S67" s="11"/>
      <c r="T67" s="11"/>
      <c r="U67" s="11"/>
      <c r="V67" s="11"/>
      <c r="W67" s="11"/>
      <c r="X67" s="11"/>
      <c r="Y67" s="11"/>
      <c r="Z67" s="11"/>
      <c r="AA67" s="16"/>
    </row>
    <row r="68" spans="2:27" x14ac:dyDescent="0.25">
      <c r="B68" s="9" t="s">
        <v>15</v>
      </c>
      <c r="C68" s="29" t="s">
        <v>44</v>
      </c>
      <c r="D68" s="11">
        <f>D57*D62</f>
        <v>300</v>
      </c>
      <c r="E68" s="11">
        <f t="shared" ref="E68:O68" si="55">E57*E62</f>
        <v>304.5</v>
      </c>
      <c r="F68" s="11">
        <f t="shared" si="55"/>
        <v>309</v>
      </c>
      <c r="G68" s="11">
        <f t="shared" si="55"/>
        <v>313.5</v>
      </c>
      <c r="H68" s="11">
        <f t="shared" si="55"/>
        <v>339.2</v>
      </c>
      <c r="I68" s="11">
        <f t="shared" si="55"/>
        <v>344</v>
      </c>
      <c r="J68" s="11">
        <f t="shared" si="55"/>
        <v>348.8</v>
      </c>
      <c r="K68" s="11">
        <f t="shared" si="55"/>
        <v>375.70000000000005</v>
      </c>
      <c r="L68" s="11">
        <f t="shared" si="55"/>
        <v>380.8</v>
      </c>
      <c r="M68" s="11">
        <f t="shared" si="55"/>
        <v>385.90000000000003</v>
      </c>
      <c r="N68" s="11">
        <f t="shared" si="55"/>
        <v>413.99999999999994</v>
      </c>
      <c r="O68" s="16">
        <f t="shared" si="55"/>
        <v>419.4</v>
      </c>
      <c r="P68" s="16">
        <f t="shared" ref="P68:AA68" si="56">P57*P62</f>
        <v>424.79999999999995</v>
      </c>
      <c r="Q68" s="16">
        <f t="shared" si="56"/>
        <v>454.09999999999997</v>
      </c>
      <c r="R68" s="16">
        <f t="shared" si="56"/>
        <v>459.8</v>
      </c>
      <c r="S68" s="16">
        <f t="shared" si="56"/>
        <v>465.5</v>
      </c>
      <c r="T68" s="16">
        <f t="shared" si="56"/>
        <v>496</v>
      </c>
      <c r="U68" s="16">
        <f t="shared" si="56"/>
        <v>502</v>
      </c>
      <c r="V68" s="16">
        <f t="shared" si="56"/>
        <v>508</v>
      </c>
      <c r="W68" s="16">
        <f t="shared" si="56"/>
        <v>539.70000000000005</v>
      </c>
      <c r="X68" s="16">
        <f t="shared" si="56"/>
        <v>546</v>
      </c>
      <c r="Y68" s="16">
        <f t="shared" si="56"/>
        <v>552.30000000000007</v>
      </c>
      <c r="Z68" s="16">
        <f t="shared" si="56"/>
        <v>585.19999999999993</v>
      </c>
      <c r="AA68" s="16">
        <f t="shared" si="56"/>
        <v>591.79999999999995</v>
      </c>
    </row>
    <row r="69" spans="2:27" x14ac:dyDescent="0.25">
      <c r="B69" s="12" t="s">
        <v>16</v>
      </c>
      <c r="C69" s="31" t="s">
        <v>44</v>
      </c>
      <c r="D69" s="11">
        <f>D58*D63</f>
        <v>25</v>
      </c>
      <c r="E69" s="11">
        <f t="shared" ref="E69:O69" si="57">E58*E63</f>
        <v>31.8</v>
      </c>
      <c r="F69" s="11">
        <f t="shared" si="57"/>
        <v>33.6</v>
      </c>
      <c r="G69" s="11">
        <f t="shared" si="57"/>
        <v>35.4</v>
      </c>
      <c r="H69" s="11">
        <f t="shared" si="57"/>
        <v>43.4</v>
      </c>
      <c r="I69" s="11">
        <f t="shared" si="57"/>
        <v>45.5</v>
      </c>
      <c r="J69" s="11">
        <f t="shared" si="57"/>
        <v>47.6</v>
      </c>
      <c r="K69" s="11">
        <f t="shared" si="57"/>
        <v>56.800000000000004</v>
      </c>
      <c r="L69" s="11">
        <f t="shared" si="57"/>
        <v>59.2</v>
      </c>
      <c r="M69" s="11">
        <f t="shared" si="57"/>
        <v>61.6</v>
      </c>
      <c r="N69" s="11">
        <f t="shared" si="57"/>
        <v>72</v>
      </c>
      <c r="O69" s="16">
        <f t="shared" si="57"/>
        <v>74.699999999999989</v>
      </c>
      <c r="P69" s="16">
        <f t="shared" ref="P69:AA69" si="58">P58*P63</f>
        <v>77.399999999999991</v>
      </c>
      <c r="Q69" s="16">
        <f t="shared" si="58"/>
        <v>89</v>
      </c>
      <c r="R69" s="16">
        <f t="shared" si="58"/>
        <v>92</v>
      </c>
      <c r="S69" s="16">
        <f t="shared" si="58"/>
        <v>95</v>
      </c>
      <c r="T69" s="16">
        <f t="shared" si="58"/>
        <v>107.8</v>
      </c>
      <c r="U69" s="16">
        <f t="shared" si="58"/>
        <v>111.1</v>
      </c>
      <c r="V69" s="16">
        <f t="shared" si="58"/>
        <v>114.39999999999999</v>
      </c>
      <c r="W69" s="16">
        <f t="shared" si="58"/>
        <v>128.4</v>
      </c>
      <c r="X69" s="16">
        <f t="shared" si="58"/>
        <v>132</v>
      </c>
      <c r="Y69" s="16">
        <f t="shared" si="58"/>
        <v>135.6</v>
      </c>
      <c r="Z69" s="16">
        <f t="shared" si="58"/>
        <v>150.79999999999998</v>
      </c>
      <c r="AA69" s="16">
        <f t="shared" si="58"/>
        <v>154.69999999999999</v>
      </c>
    </row>
    <row r="70" spans="2:27" x14ac:dyDescent="0.25">
      <c r="B70" s="14" t="s">
        <v>21</v>
      </c>
      <c r="C70" s="30" t="s">
        <v>44</v>
      </c>
      <c r="D70" s="71">
        <f>SUM(D68:D69)</f>
        <v>325</v>
      </c>
      <c r="E70" s="71">
        <f t="shared" ref="E70" si="59">SUM(E68:E69)</f>
        <v>336.3</v>
      </c>
      <c r="F70" s="71">
        <f t="shared" ref="F70" si="60">SUM(F68:F69)</f>
        <v>342.6</v>
      </c>
      <c r="G70" s="71">
        <f t="shared" ref="G70" si="61">SUM(G68:G69)</f>
        <v>348.9</v>
      </c>
      <c r="H70" s="71">
        <f t="shared" ref="H70" si="62">SUM(H68:H69)</f>
        <v>382.59999999999997</v>
      </c>
      <c r="I70" s="71">
        <f t="shared" ref="I70" si="63">SUM(I68:I69)</f>
        <v>389.5</v>
      </c>
      <c r="J70" s="71">
        <f t="shared" ref="J70" si="64">SUM(J68:J69)</f>
        <v>396.40000000000003</v>
      </c>
      <c r="K70" s="71">
        <f t="shared" ref="K70" si="65">SUM(K68:K69)</f>
        <v>432.50000000000006</v>
      </c>
      <c r="L70" s="71">
        <f t="shared" ref="L70" si="66">SUM(L68:L69)</f>
        <v>440</v>
      </c>
      <c r="M70" s="71">
        <f t="shared" ref="M70" si="67">SUM(M68:M69)</f>
        <v>447.50000000000006</v>
      </c>
      <c r="N70" s="71">
        <f t="shared" ref="N70" si="68">SUM(N68:N69)</f>
        <v>485.99999999999994</v>
      </c>
      <c r="O70" s="72">
        <f t="shared" ref="O70:AA70" si="69">SUM(O68:O69)</f>
        <v>494.09999999999997</v>
      </c>
      <c r="P70" s="72">
        <f t="shared" si="69"/>
        <v>502.19999999999993</v>
      </c>
      <c r="Q70" s="72">
        <f t="shared" si="69"/>
        <v>543.09999999999991</v>
      </c>
      <c r="R70" s="72">
        <f t="shared" si="69"/>
        <v>551.79999999999995</v>
      </c>
      <c r="S70" s="72">
        <f t="shared" si="69"/>
        <v>560.5</v>
      </c>
      <c r="T70" s="72">
        <f t="shared" si="69"/>
        <v>603.79999999999995</v>
      </c>
      <c r="U70" s="72">
        <f t="shared" si="69"/>
        <v>613.1</v>
      </c>
      <c r="V70" s="72">
        <f t="shared" si="69"/>
        <v>622.4</v>
      </c>
      <c r="W70" s="72">
        <f t="shared" si="69"/>
        <v>668.1</v>
      </c>
      <c r="X70" s="72">
        <f t="shared" si="69"/>
        <v>678</v>
      </c>
      <c r="Y70" s="72">
        <f t="shared" si="69"/>
        <v>687.90000000000009</v>
      </c>
      <c r="Z70" s="72">
        <f t="shared" si="69"/>
        <v>735.99999999999989</v>
      </c>
      <c r="AA70" s="72">
        <f t="shared" si="69"/>
        <v>746.5</v>
      </c>
    </row>
    <row r="71" spans="2:27" ht="7.05" customHeight="1" x14ac:dyDescent="0.25">
      <c r="B71" s="8"/>
      <c r="C71" s="11"/>
      <c r="D71" s="11"/>
      <c r="E71" s="11"/>
      <c r="F71" s="11"/>
      <c r="G71" s="11"/>
      <c r="H71" s="11"/>
      <c r="I71" s="11"/>
      <c r="J71" s="11"/>
      <c r="K71" s="11"/>
      <c r="L71" s="11"/>
      <c r="M71" s="11"/>
      <c r="N71" s="11"/>
      <c r="P71" s="11"/>
      <c r="Q71" s="11"/>
      <c r="R71" s="11"/>
      <c r="S71" s="11"/>
      <c r="T71" s="11"/>
      <c r="U71" s="11"/>
      <c r="V71" s="11"/>
      <c r="W71" s="11"/>
      <c r="X71" s="11"/>
      <c r="Y71" s="11"/>
      <c r="Z71" s="11"/>
      <c r="AA71" s="16"/>
    </row>
    <row r="72" spans="2:27" x14ac:dyDescent="0.25">
      <c r="B72" s="10" t="s">
        <v>22</v>
      </c>
      <c r="C72" s="11"/>
      <c r="D72" s="11"/>
      <c r="E72" s="11"/>
      <c r="F72" s="11"/>
      <c r="G72" s="11"/>
      <c r="H72" s="11"/>
      <c r="I72" s="11"/>
      <c r="J72" s="11"/>
      <c r="K72" s="11"/>
      <c r="L72" s="11"/>
      <c r="M72" s="11"/>
      <c r="N72" s="11"/>
      <c r="P72" s="11"/>
      <c r="Q72" s="11"/>
      <c r="R72" s="11"/>
      <c r="S72" s="11"/>
      <c r="T72" s="11"/>
      <c r="U72" s="11"/>
      <c r="V72" s="11"/>
      <c r="W72" s="11"/>
      <c r="X72" s="11"/>
      <c r="Y72" s="11"/>
      <c r="Z72" s="11"/>
      <c r="AA72" s="16"/>
    </row>
    <row r="73" spans="2:27" ht="7.05" customHeight="1" x14ac:dyDescent="0.25">
      <c r="B73" s="8"/>
      <c r="C73" s="11"/>
      <c r="D73" s="11"/>
      <c r="E73" s="11"/>
      <c r="F73" s="11"/>
      <c r="G73" s="11"/>
      <c r="H73" s="11"/>
      <c r="I73" s="11"/>
      <c r="J73" s="11"/>
      <c r="K73" s="11"/>
      <c r="L73" s="11"/>
      <c r="M73" s="11"/>
      <c r="N73" s="11"/>
      <c r="P73" s="11"/>
      <c r="Q73" s="11"/>
      <c r="R73" s="11"/>
      <c r="S73" s="11"/>
      <c r="T73" s="11"/>
      <c r="U73" s="11"/>
      <c r="V73" s="11"/>
      <c r="W73" s="11"/>
      <c r="X73" s="11"/>
      <c r="Y73" s="11"/>
      <c r="Z73" s="11"/>
      <c r="AA73" s="16"/>
    </row>
    <row r="74" spans="2:27" x14ac:dyDescent="0.25">
      <c r="B74" s="9" t="s">
        <v>23</v>
      </c>
      <c r="C74" s="44" t="s">
        <v>46</v>
      </c>
      <c r="D74" s="51">
        <v>50</v>
      </c>
      <c r="E74" s="51">
        <v>50</v>
      </c>
      <c r="F74" s="51">
        <v>50</v>
      </c>
      <c r="G74" s="51">
        <v>50</v>
      </c>
      <c r="H74" s="51">
        <v>50</v>
      </c>
      <c r="I74" s="51">
        <v>50</v>
      </c>
      <c r="J74" s="51">
        <v>50</v>
      </c>
      <c r="K74" s="51">
        <v>50</v>
      </c>
      <c r="L74" s="51">
        <v>50</v>
      </c>
      <c r="M74" s="51">
        <v>50</v>
      </c>
      <c r="N74" s="51">
        <v>50</v>
      </c>
      <c r="O74" s="51">
        <v>50</v>
      </c>
      <c r="P74" s="51">
        <v>49</v>
      </c>
      <c r="Q74" s="51">
        <v>49</v>
      </c>
      <c r="R74" s="51">
        <v>49</v>
      </c>
      <c r="S74" s="51">
        <v>49</v>
      </c>
      <c r="T74" s="51">
        <v>49</v>
      </c>
      <c r="U74" s="51">
        <v>49</v>
      </c>
      <c r="V74" s="51">
        <v>49</v>
      </c>
      <c r="W74" s="51">
        <v>49</v>
      </c>
      <c r="X74" s="51">
        <v>49</v>
      </c>
      <c r="Y74" s="51">
        <v>49</v>
      </c>
      <c r="Z74" s="51">
        <v>49</v>
      </c>
      <c r="AA74" s="51">
        <v>49</v>
      </c>
    </row>
    <row r="75" spans="2:27" x14ac:dyDescent="0.25">
      <c r="B75" s="12" t="s">
        <v>24</v>
      </c>
      <c r="C75" s="31" t="s">
        <v>44</v>
      </c>
      <c r="D75" s="43">
        <v>1</v>
      </c>
      <c r="E75" s="43">
        <v>1</v>
      </c>
      <c r="F75" s="43">
        <v>1</v>
      </c>
      <c r="G75" s="43">
        <v>1</v>
      </c>
      <c r="H75" s="43">
        <v>1</v>
      </c>
      <c r="I75" s="43">
        <v>1</v>
      </c>
      <c r="J75" s="43">
        <v>1</v>
      </c>
      <c r="K75" s="43">
        <v>1</v>
      </c>
      <c r="L75" s="43">
        <v>1</v>
      </c>
      <c r="M75" s="43">
        <v>1</v>
      </c>
      <c r="N75" s="43">
        <v>1</v>
      </c>
      <c r="O75" s="68">
        <v>1</v>
      </c>
      <c r="P75" s="68">
        <v>1</v>
      </c>
      <c r="Q75" s="68">
        <v>1</v>
      </c>
      <c r="R75" s="68">
        <v>1</v>
      </c>
      <c r="S75" s="68">
        <v>1</v>
      </c>
      <c r="T75" s="68">
        <v>1</v>
      </c>
      <c r="U75" s="68">
        <v>1</v>
      </c>
      <c r="V75" s="68">
        <v>2</v>
      </c>
      <c r="W75" s="68">
        <v>2</v>
      </c>
      <c r="X75" s="68">
        <v>2</v>
      </c>
      <c r="Y75" s="68">
        <v>2</v>
      </c>
      <c r="Z75" s="68">
        <v>2</v>
      </c>
      <c r="AA75" s="68">
        <v>2</v>
      </c>
    </row>
    <row r="76" spans="2:27" x14ac:dyDescent="0.25">
      <c r="B76" s="14" t="s">
        <v>25</v>
      </c>
      <c r="C76" s="33" t="s">
        <v>46</v>
      </c>
      <c r="D76" s="84">
        <f>D74*D75</f>
        <v>50</v>
      </c>
      <c r="E76" s="84">
        <f t="shared" ref="E76:AA76" si="70">E74*E75</f>
        <v>50</v>
      </c>
      <c r="F76" s="84">
        <f t="shared" si="70"/>
        <v>50</v>
      </c>
      <c r="G76" s="84">
        <f t="shared" si="70"/>
        <v>50</v>
      </c>
      <c r="H76" s="84">
        <f t="shared" si="70"/>
        <v>50</v>
      </c>
      <c r="I76" s="84">
        <f t="shared" si="70"/>
        <v>50</v>
      </c>
      <c r="J76" s="84">
        <f t="shared" si="70"/>
        <v>50</v>
      </c>
      <c r="K76" s="84">
        <f t="shared" si="70"/>
        <v>50</v>
      </c>
      <c r="L76" s="84">
        <f t="shared" si="70"/>
        <v>50</v>
      </c>
      <c r="M76" s="84">
        <f t="shared" si="70"/>
        <v>50</v>
      </c>
      <c r="N76" s="84">
        <f t="shared" si="70"/>
        <v>50</v>
      </c>
      <c r="O76" s="85">
        <f t="shared" si="70"/>
        <v>50</v>
      </c>
      <c r="P76" s="85">
        <f t="shared" si="70"/>
        <v>49</v>
      </c>
      <c r="Q76" s="85">
        <f t="shared" si="70"/>
        <v>49</v>
      </c>
      <c r="R76" s="85">
        <f t="shared" si="70"/>
        <v>49</v>
      </c>
      <c r="S76" s="85">
        <f t="shared" si="70"/>
        <v>49</v>
      </c>
      <c r="T76" s="85">
        <f t="shared" si="70"/>
        <v>49</v>
      </c>
      <c r="U76" s="85">
        <f t="shared" si="70"/>
        <v>49</v>
      </c>
      <c r="V76" s="85">
        <f t="shared" si="70"/>
        <v>98</v>
      </c>
      <c r="W76" s="85">
        <f t="shared" si="70"/>
        <v>98</v>
      </c>
      <c r="X76" s="85">
        <f t="shared" si="70"/>
        <v>98</v>
      </c>
      <c r="Y76" s="85">
        <f t="shared" si="70"/>
        <v>98</v>
      </c>
      <c r="Z76" s="85">
        <f t="shared" si="70"/>
        <v>98</v>
      </c>
      <c r="AA76" s="85">
        <f t="shared" si="70"/>
        <v>98</v>
      </c>
    </row>
    <row r="78" spans="2:27" ht="13.8" customHeight="1" x14ac:dyDescent="0.25">
      <c r="B78" s="86"/>
      <c r="C78" s="87"/>
      <c r="D78" s="96" t="s">
        <v>78</v>
      </c>
      <c r="E78" s="96"/>
      <c r="F78" s="96"/>
      <c r="G78" s="96"/>
      <c r="H78" s="96"/>
      <c r="I78" s="96"/>
      <c r="J78" s="96"/>
      <c r="K78" s="96"/>
      <c r="L78" s="96"/>
      <c r="M78" s="96"/>
      <c r="N78" s="96"/>
      <c r="O78" s="96"/>
      <c r="P78" s="96"/>
      <c r="Q78" s="96"/>
      <c r="R78" s="96"/>
      <c r="S78" s="96"/>
      <c r="T78" s="96"/>
      <c r="U78" s="96"/>
      <c r="V78" s="96"/>
      <c r="W78" s="96"/>
      <c r="X78" s="96"/>
      <c r="Y78" s="96"/>
      <c r="Z78" s="96"/>
      <c r="AA78" s="96"/>
    </row>
    <row r="79" spans="2:27" ht="13.8" customHeight="1" x14ac:dyDescent="0.25">
      <c r="B79" s="86"/>
      <c r="C79" s="87"/>
      <c r="D79" s="96"/>
      <c r="E79" s="96"/>
      <c r="F79" s="96"/>
      <c r="G79" s="96"/>
      <c r="H79" s="96"/>
      <c r="I79" s="96"/>
      <c r="J79" s="96"/>
      <c r="K79" s="96"/>
      <c r="L79" s="96"/>
      <c r="M79" s="96"/>
      <c r="N79" s="96"/>
      <c r="O79" s="96"/>
      <c r="P79" s="96"/>
      <c r="Q79" s="96"/>
      <c r="R79" s="96"/>
      <c r="S79" s="96"/>
      <c r="T79" s="96"/>
      <c r="U79" s="96"/>
      <c r="V79" s="96"/>
      <c r="W79" s="96"/>
      <c r="X79" s="96"/>
      <c r="Y79" s="96"/>
      <c r="Z79" s="96"/>
      <c r="AA79" s="96"/>
    </row>
    <row r="81" spans="2:27" x14ac:dyDescent="0.25">
      <c r="B81" s="92" t="s">
        <v>37</v>
      </c>
      <c r="E81" s="97" t="s">
        <v>37</v>
      </c>
      <c r="F81" s="97"/>
      <c r="G81" s="97"/>
      <c r="H81" s="97"/>
      <c r="I81" s="97"/>
      <c r="M81" s="97" t="s">
        <v>38</v>
      </c>
      <c r="N81" s="97"/>
      <c r="O81" s="97"/>
      <c r="P81" s="97"/>
      <c r="Q81" s="97"/>
      <c r="V81" s="97" t="s">
        <v>39</v>
      </c>
      <c r="W81" s="97"/>
      <c r="X81" s="97"/>
      <c r="Y81" s="97"/>
    </row>
    <row r="82" spans="2:27" ht="13.8" customHeight="1" x14ac:dyDescent="0.25">
      <c r="B82" s="101" t="s">
        <v>103</v>
      </c>
    </row>
    <row r="83" spans="2:27" x14ac:dyDescent="0.25">
      <c r="B83" s="101"/>
    </row>
    <row r="84" spans="2:27" x14ac:dyDescent="0.25">
      <c r="B84" s="101"/>
    </row>
    <row r="85" spans="2:27" x14ac:dyDescent="0.25">
      <c r="B85" s="91"/>
    </row>
    <row r="86" spans="2:27" x14ac:dyDescent="0.25">
      <c r="B86" s="92" t="s">
        <v>38</v>
      </c>
    </row>
    <row r="87" spans="2:27" x14ac:dyDescent="0.25">
      <c r="B87" s="101" t="s">
        <v>104</v>
      </c>
    </row>
    <row r="88" spans="2:27" x14ac:dyDescent="0.25">
      <c r="B88" s="101"/>
    </row>
    <row r="89" spans="2:27" x14ac:dyDescent="0.25">
      <c r="B89" s="101"/>
    </row>
    <row r="90" spans="2:27" x14ac:dyDescent="0.25">
      <c r="B90" s="88"/>
    </row>
    <row r="91" spans="2:27" x14ac:dyDescent="0.25">
      <c r="B91" s="92" t="s">
        <v>39</v>
      </c>
    </row>
    <row r="92" spans="2:27" x14ac:dyDescent="0.25">
      <c r="B92" s="101" t="s">
        <v>105</v>
      </c>
    </row>
    <row r="93" spans="2:27" x14ac:dyDescent="0.25">
      <c r="B93" s="101"/>
    </row>
    <row r="94" spans="2:27" x14ac:dyDescent="0.25">
      <c r="B94" s="101"/>
    </row>
    <row r="96" spans="2:27" x14ac:dyDescent="0.25">
      <c r="B96" s="86"/>
      <c r="C96" s="86"/>
      <c r="D96" s="96" t="s">
        <v>79</v>
      </c>
      <c r="E96" s="96"/>
      <c r="F96" s="96"/>
      <c r="G96" s="96"/>
      <c r="H96" s="96"/>
      <c r="I96" s="96"/>
      <c r="J96" s="96"/>
      <c r="K96" s="96"/>
      <c r="L96" s="96"/>
      <c r="M96" s="96"/>
      <c r="N96" s="96"/>
      <c r="O96" s="96"/>
      <c r="P96" s="96"/>
      <c r="Q96" s="96"/>
      <c r="R96" s="96"/>
      <c r="S96" s="96"/>
      <c r="T96" s="96"/>
      <c r="U96" s="96"/>
      <c r="V96" s="96"/>
      <c r="W96" s="96"/>
      <c r="X96" s="96"/>
      <c r="Y96" s="96"/>
      <c r="Z96" s="96"/>
      <c r="AA96" s="96"/>
    </row>
    <row r="97" spans="2:27" x14ac:dyDescent="0.25">
      <c r="B97" s="86"/>
      <c r="C97" s="86"/>
      <c r="D97" s="96"/>
      <c r="E97" s="96"/>
      <c r="F97" s="96"/>
      <c r="G97" s="96"/>
      <c r="H97" s="96"/>
      <c r="I97" s="96"/>
      <c r="J97" s="96"/>
      <c r="K97" s="96"/>
      <c r="L97" s="96"/>
      <c r="M97" s="96"/>
      <c r="N97" s="96"/>
      <c r="O97" s="96"/>
      <c r="P97" s="96"/>
      <c r="Q97" s="96"/>
      <c r="R97" s="96"/>
      <c r="S97" s="96"/>
      <c r="T97" s="96"/>
      <c r="U97" s="96"/>
      <c r="V97" s="96"/>
      <c r="W97" s="96"/>
      <c r="X97" s="96"/>
      <c r="Y97" s="96"/>
      <c r="Z97" s="96"/>
      <c r="AA97" s="96"/>
    </row>
    <row r="99" spans="2:27" x14ac:dyDescent="0.25">
      <c r="B99" s="92" t="s">
        <v>37</v>
      </c>
      <c r="E99" s="97" t="s">
        <v>37</v>
      </c>
      <c r="F99" s="97"/>
      <c r="G99" s="97"/>
      <c r="H99" s="97"/>
      <c r="I99" s="97"/>
      <c r="M99" s="97" t="s">
        <v>38</v>
      </c>
      <c r="N99" s="97"/>
      <c r="O99" s="97"/>
      <c r="P99" s="97"/>
      <c r="Q99" s="97"/>
      <c r="V99" s="97" t="s">
        <v>39</v>
      </c>
      <c r="W99" s="97"/>
      <c r="X99" s="97"/>
      <c r="Y99" s="97"/>
    </row>
    <row r="100" spans="2:27" ht="13.8" customHeight="1" x14ac:dyDescent="0.25">
      <c r="B100" s="101" t="s">
        <v>106</v>
      </c>
    </row>
    <row r="101" spans="2:27" x14ac:dyDescent="0.25">
      <c r="B101" s="101"/>
    </row>
    <row r="102" spans="2:27" x14ac:dyDescent="0.25">
      <c r="B102" s="101"/>
    </row>
    <row r="103" spans="2:27" x14ac:dyDescent="0.25">
      <c r="B103" s="91"/>
    </row>
    <row r="104" spans="2:27" x14ac:dyDescent="0.25">
      <c r="B104" s="93" t="s">
        <v>38</v>
      </c>
    </row>
    <row r="105" spans="2:27" ht="13.8" customHeight="1" x14ac:dyDescent="0.25">
      <c r="B105" s="101" t="s">
        <v>107</v>
      </c>
    </row>
    <row r="106" spans="2:27" x14ac:dyDescent="0.25">
      <c r="B106" s="101"/>
    </row>
    <row r="107" spans="2:27" x14ac:dyDescent="0.25">
      <c r="B107" s="101"/>
    </row>
    <row r="108" spans="2:27" x14ac:dyDescent="0.25">
      <c r="B108" s="91"/>
    </row>
    <row r="109" spans="2:27" x14ac:dyDescent="0.25">
      <c r="B109" s="92" t="s">
        <v>39</v>
      </c>
    </row>
    <row r="110" spans="2:27" ht="13.8" customHeight="1" x14ac:dyDescent="0.25">
      <c r="B110" s="101" t="s">
        <v>108</v>
      </c>
    </row>
    <row r="111" spans="2:27" x14ac:dyDescent="0.25">
      <c r="B111" s="101"/>
    </row>
    <row r="112" spans="2:27" x14ac:dyDescent="0.25">
      <c r="B112" s="91"/>
    </row>
    <row r="113" spans="2:27" x14ac:dyDescent="0.25">
      <c r="B113" s="102" t="s">
        <v>109</v>
      </c>
    </row>
    <row r="114" spans="2:27" x14ac:dyDescent="0.25">
      <c r="B114" s="102"/>
    </row>
    <row r="115" spans="2:27" x14ac:dyDescent="0.25">
      <c r="B115" s="102"/>
    </row>
    <row r="118" spans="2:27" x14ac:dyDescent="0.2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sheetData>
  <mergeCells count="20">
    <mergeCell ref="B105:B107"/>
    <mergeCell ref="B110:B111"/>
    <mergeCell ref="B113:B115"/>
    <mergeCell ref="B82:B84"/>
    <mergeCell ref="B87:B89"/>
    <mergeCell ref="B92:B94"/>
    <mergeCell ref="B100:B102"/>
    <mergeCell ref="D78:AA79"/>
    <mergeCell ref="B1:C4"/>
    <mergeCell ref="D1:AA3"/>
    <mergeCell ref="D6:AA6"/>
    <mergeCell ref="D30:AA30"/>
    <mergeCell ref="D54:AA54"/>
    <mergeCell ref="D96:AA97"/>
    <mergeCell ref="E99:I99"/>
    <mergeCell ref="M99:Q99"/>
    <mergeCell ref="V99:Y99"/>
    <mergeCell ref="M81:Q81"/>
    <mergeCell ref="V81:Y81"/>
    <mergeCell ref="E81:I81"/>
  </mergeCells>
  <printOptions horizontalCentered="1"/>
  <pageMargins left="0" right="0" top="0" bottom="0" header="0" footer="0"/>
  <pageSetup paperSize="9" scale="38"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A118"/>
  <sheetViews>
    <sheetView zoomScale="72" zoomScaleNormal="72" workbookViewId="0">
      <pane xSplit="2" ySplit="5" topLeftCell="C91" activePane="bottomRight" state="frozen"/>
      <selection pane="topRight" activeCell="C1" sqref="C1"/>
      <selection pane="bottomLeft" activeCell="A6" sqref="A6"/>
      <selection pane="bottomRight" activeCell="A128" sqref="A128"/>
    </sheetView>
  </sheetViews>
  <sheetFormatPr defaultColWidth="12.77734375" defaultRowHeight="13.8" x14ac:dyDescent="0.25"/>
  <cols>
    <col min="1" max="1" width="2" style="2" customWidth="1"/>
    <col min="2" max="2" width="35.77734375" style="2" customWidth="1"/>
    <col min="3" max="3" width="8.88671875" style="2" customWidth="1"/>
    <col min="4" max="16384" width="12.77734375" style="2"/>
  </cols>
  <sheetData>
    <row r="1" spans="2:27" ht="13.8" customHeight="1" x14ac:dyDescent="0.25">
      <c r="B1" s="98" t="s">
        <v>41</v>
      </c>
      <c r="C1" s="98"/>
      <c r="D1" s="99" t="s">
        <v>42</v>
      </c>
      <c r="E1" s="99"/>
      <c r="F1" s="99"/>
      <c r="G1" s="99"/>
      <c r="H1" s="99"/>
      <c r="I1" s="99"/>
      <c r="J1" s="99"/>
      <c r="K1" s="99"/>
      <c r="L1" s="99"/>
      <c r="M1" s="99"/>
      <c r="N1" s="99"/>
      <c r="O1" s="99"/>
      <c r="P1" s="99"/>
      <c r="Q1" s="99"/>
      <c r="R1" s="99"/>
      <c r="S1" s="99"/>
      <c r="T1" s="99"/>
      <c r="U1" s="99"/>
      <c r="V1" s="99"/>
      <c r="W1" s="99"/>
      <c r="X1" s="99"/>
      <c r="Y1" s="99"/>
      <c r="Z1" s="99"/>
      <c r="AA1" s="99"/>
    </row>
    <row r="2" spans="2:27" ht="13.8" customHeight="1" x14ac:dyDescent="0.25">
      <c r="B2" s="98"/>
      <c r="C2" s="98"/>
      <c r="D2" s="99"/>
      <c r="E2" s="99"/>
      <c r="F2" s="99"/>
      <c r="G2" s="99"/>
      <c r="H2" s="99"/>
      <c r="I2" s="99"/>
      <c r="J2" s="99"/>
      <c r="K2" s="99"/>
      <c r="L2" s="99"/>
      <c r="M2" s="99"/>
      <c r="N2" s="99"/>
      <c r="O2" s="99"/>
      <c r="P2" s="99"/>
      <c r="Q2" s="99"/>
      <c r="R2" s="99"/>
      <c r="S2" s="99"/>
      <c r="T2" s="99"/>
      <c r="U2" s="99"/>
      <c r="V2" s="99"/>
      <c r="W2" s="99"/>
      <c r="X2" s="99"/>
      <c r="Y2" s="99"/>
      <c r="Z2" s="99"/>
      <c r="AA2" s="99"/>
    </row>
    <row r="3" spans="2:27" ht="13.8" customHeight="1" x14ac:dyDescent="0.25">
      <c r="B3" s="98"/>
      <c r="C3" s="98"/>
      <c r="D3" s="99"/>
      <c r="E3" s="99"/>
      <c r="F3" s="99"/>
      <c r="G3" s="99"/>
      <c r="H3" s="99"/>
      <c r="I3" s="99"/>
      <c r="J3" s="99"/>
      <c r="K3" s="99"/>
      <c r="L3" s="99"/>
      <c r="M3" s="99"/>
      <c r="N3" s="99"/>
      <c r="O3" s="99"/>
      <c r="P3" s="99"/>
      <c r="Q3" s="99"/>
      <c r="R3" s="99"/>
      <c r="S3" s="99"/>
      <c r="T3" s="99"/>
      <c r="U3" s="99"/>
      <c r="V3" s="99"/>
      <c r="W3" s="99"/>
      <c r="X3" s="99"/>
      <c r="Y3" s="99"/>
      <c r="Z3" s="99"/>
      <c r="AA3" s="99"/>
    </row>
    <row r="4" spans="2:27" ht="13.8" customHeight="1" x14ac:dyDescent="0.25">
      <c r="B4" s="98"/>
      <c r="C4" s="98"/>
      <c r="D4" s="4">
        <f>'REVENUE ASSUMPTIONS'!D$4</f>
        <v>46048</v>
      </c>
      <c r="E4" s="4">
        <f>'REVENUE ASSUMPTIONS'!E$4</f>
        <v>46079</v>
      </c>
      <c r="F4" s="4">
        <f>'REVENUE ASSUMPTIONS'!F$4</f>
        <v>46107</v>
      </c>
      <c r="G4" s="4">
        <f>'REVENUE ASSUMPTIONS'!G$4</f>
        <v>46138</v>
      </c>
      <c r="H4" s="4">
        <f>'REVENUE ASSUMPTIONS'!H$4</f>
        <v>46168</v>
      </c>
      <c r="I4" s="4">
        <f>'REVENUE ASSUMPTIONS'!I$4</f>
        <v>46199</v>
      </c>
      <c r="J4" s="4">
        <f>'REVENUE ASSUMPTIONS'!J$4</f>
        <v>46229</v>
      </c>
      <c r="K4" s="4">
        <f>'REVENUE ASSUMPTIONS'!K$4</f>
        <v>46260</v>
      </c>
      <c r="L4" s="4">
        <f>'REVENUE ASSUMPTIONS'!L$4</f>
        <v>46291</v>
      </c>
      <c r="M4" s="4">
        <f>'REVENUE ASSUMPTIONS'!M$4</f>
        <v>46321</v>
      </c>
      <c r="N4" s="4">
        <f>'REVENUE ASSUMPTIONS'!N$4</f>
        <v>46352</v>
      </c>
      <c r="O4" s="4">
        <f>'REVENUE ASSUMPTIONS'!O$4</f>
        <v>46382</v>
      </c>
      <c r="P4" s="4">
        <f>'REVENUE ASSUMPTIONS'!P$4</f>
        <v>46413</v>
      </c>
      <c r="Q4" s="4">
        <f>'REVENUE ASSUMPTIONS'!Q$4</f>
        <v>46444</v>
      </c>
      <c r="R4" s="4">
        <f>'REVENUE ASSUMPTIONS'!R$4</f>
        <v>46472</v>
      </c>
      <c r="S4" s="4">
        <f>'REVENUE ASSUMPTIONS'!S$4</f>
        <v>46503</v>
      </c>
      <c r="T4" s="4">
        <f>'REVENUE ASSUMPTIONS'!T$4</f>
        <v>46533</v>
      </c>
      <c r="U4" s="4">
        <f>'REVENUE ASSUMPTIONS'!U$4</f>
        <v>46564</v>
      </c>
      <c r="V4" s="4">
        <f>'REVENUE ASSUMPTIONS'!V$4</f>
        <v>46594</v>
      </c>
      <c r="W4" s="4">
        <f>'REVENUE ASSUMPTIONS'!W$4</f>
        <v>46625</v>
      </c>
      <c r="X4" s="4">
        <f>'REVENUE ASSUMPTIONS'!X$4</f>
        <v>46656</v>
      </c>
      <c r="Y4" s="4">
        <f>'REVENUE ASSUMPTIONS'!Y$4</f>
        <v>46686</v>
      </c>
      <c r="Z4" s="4">
        <f>'REVENUE ASSUMPTIONS'!Z$4</f>
        <v>46717</v>
      </c>
      <c r="AA4" s="4">
        <f>'REVENUE ASSUMPTIONS'!AA$4</f>
        <v>46747</v>
      </c>
    </row>
    <row r="5" spans="2:27" x14ac:dyDescent="0.25">
      <c r="B5" s="5" t="s">
        <v>0</v>
      </c>
      <c r="C5" s="19" t="s">
        <v>40</v>
      </c>
      <c r="D5" s="6" t="str">
        <f>'REVENUE ASSUMPTIONS'!D$5</f>
        <v>Month 1</v>
      </c>
      <c r="E5" s="6" t="str">
        <f>'REVENUE ASSUMPTIONS'!E$5</f>
        <v>Month 2</v>
      </c>
      <c r="F5" s="6" t="str">
        <f>'REVENUE ASSUMPTIONS'!F$5</f>
        <v>Month 3</v>
      </c>
      <c r="G5" s="6" t="str">
        <f>'REVENUE ASSUMPTIONS'!G$5</f>
        <v>Month 4</v>
      </c>
      <c r="H5" s="6" t="str">
        <f>'REVENUE ASSUMPTIONS'!H$5</f>
        <v>Month 5</v>
      </c>
      <c r="I5" s="6" t="str">
        <f>'REVENUE ASSUMPTIONS'!I$5</f>
        <v>Month 6</v>
      </c>
      <c r="J5" s="6" t="str">
        <f>'REVENUE ASSUMPTIONS'!J$5</f>
        <v>Month 7</v>
      </c>
      <c r="K5" s="6" t="str">
        <f>'REVENUE ASSUMPTIONS'!K$5</f>
        <v>Month 8</v>
      </c>
      <c r="L5" s="6" t="str">
        <f>'REVENUE ASSUMPTIONS'!L$5</f>
        <v>Month 9</v>
      </c>
      <c r="M5" s="6" t="str">
        <f>'REVENUE ASSUMPTIONS'!M$5</f>
        <v>Month 10</v>
      </c>
      <c r="N5" s="6" t="str">
        <f>'REVENUE ASSUMPTIONS'!N$5</f>
        <v>Month 11</v>
      </c>
      <c r="O5" s="6" t="str">
        <f>'REVENUE ASSUMPTIONS'!O$5</f>
        <v>Month 12</v>
      </c>
      <c r="P5" s="6" t="str">
        <f>'REVENUE ASSUMPTIONS'!P$5</f>
        <v>Month 13</v>
      </c>
      <c r="Q5" s="6" t="str">
        <f>'REVENUE ASSUMPTIONS'!Q$5</f>
        <v>Month 14</v>
      </c>
      <c r="R5" s="6" t="str">
        <f>'REVENUE ASSUMPTIONS'!R$5</f>
        <v>Month 15</v>
      </c>
      <c r="S5" s="6" t="str">
        <f>'REVENUE ASSUMPTIONS'!S$5</f>
        <v>Month 16</v>
      </c>
      <c r="T5" s="6" t="str">
        <f>'REVENUE ASSUMPTIONS'!T$5</f>
        <v>Month 17</v>
      </c>
      <c r="U5" s="6" t="str">
        <f>'REVENUE ASSUMPTIONS'!U$5</f>
        <v>Month 18</v>
      </c>
      <c r="V5" s="6" t="str">
        <f>'REVENUE ASSUMPTIONS'!V$5</f>
        <v>Month 19</v>
      </c>
      <c r="W5" s="6" t="str">
        <f>'REVENUE ASSUMPTIONS'!W$5</f>
        <v>Month 20</v>
      </c>
      <c r="X5" s="6" t="str">
        <f>'REVENUE ASSUMPTIONS'!X$5</f>
        <v>Month 21</v>
      </c>
      <c r="Y5" s="6" t="str">
        <f>'REVENUE ASSUMPTIONS'!Y$5</f>
        <v>Month 22</v>
      </c>
      <c r="Z5" s="6" t="str">
        <f>'REVENUE ASSUMPTIONS'!Z$5</f>
        <v>Month 23</v>
      </c>
      <c r="AA5" s="6" t="str">
        <f>'REVENUE ASSUMPTIONS'!AA$5</f>
        <v>Month 24</v>
      </c>
    </row>
    <row r="6" spans="2:27" x14ac:dyDescent="0.25">
      <c r="B6" s="7" t="s">
        <v>26</v>
      </c>
      <c r="C6" s="3"/>
      <c r="D6" s="100" t="s">
        <v>37</v>
      </c>
      <c r="E6" s="100"/>
      <c r="F6" s="100"/>
      <c r="G6" s="100"/>
      <c r="H6" s="100"/>
      <c r="I6" s="100"/>
      <c r="J6" s="100"/>
      <c r="K6" s="100"/>
      <c r="L6" s="100"/>
      <c r="M6" s="100"/>
      <c r="N6" s="100"/>
      <c r="O6" s="100"/>
      <c r="P6" s="100"/>
      <c r="Q6" s="100"/>
      <c r="R6" s="100"/>
      <c r="S6" s="100"/>
      <c r="T6" s="100"/>
      <c r="U6" s="100"/>
      <c r="V6" s="100"/>
      <c r="W6" s="100"/>
      <c r="X6" s="100"/>
      <c r="Y6" s="100"/>
      <c r="Z6" s="100"/>
      <c r="AA6" s="100"/>
    </row>
    <row r="7" spans="2:27" ht="7.05" customHeight="1" x14ac:dyDescent="0.25"/>
    <row r="8" spans="2:27" x14ac:dyDescent="0.25">
      <c r="B8" s="22" t="s">
        <v>27</v>
      </c>
      <c r="C8" s="46"/>
      <c r="D8" s="25"/>
      <c r="E8" s="46"/>
      <c r="F8" s="46"/>
      <c r="G8" s="46"/>
      <c r="H8" s="46"/>
      <c r="I8" s="46"/>
      <c r="J8" s="46"/>
      <c r="K8" s="46"/>
      <c r="L8" s="46"/>
      <c r="M8" s="46"/>
      <c r="N8" s="46"/>
      <c r="O8" s="26"/>
      <c r="P8" s="46"/>
      <c r="Q8" s="46"/>
      <c r="R8" s="46"/>
      <c r="S8" s="46"/>
      <c r="T8" s="46"/>
      <c r="U8" s="46"/>
      <c r="V8" s="46"/>
      <c r="W8" s="46"/>
      <c r="X8" s="46"/>
      <c r="Y8" s="46"/>
      <c r="Z8" s="46"/>
      <c r="AA8" s="46"/>
    </row>
    <row r="9" spans="2:27" ht="7.05" customHeight="1" x14ac:dyDescent="0.25">
      <c r="B9" s="21"/>
      <c r="C9" s="11"/>
      <c r="D9" s="8"/>
      <c r="E9" s="11"/>
      <c r="F9" s="11"/>
      <c r="G9" s="11"/>
      <c r="H9" s="11"/>
      <c r="I9" s="11"/>
      <c r="J9" s="11"/>
      <c r="K9" s="11"/>
      <c r="L9" s="11"/>
      <c r="M9" s="11"/>
      <c r="N9" s="11"/>
      <c r="P9" s="11"/>
      <c r="Q9" s="11"/>
      <c r="R9" s="11"/>
      <c r="S9" s="11"/>
      <c r="T9" s="11"/>
      <c r="U9" s="11"/>
      <c r="V9" s="11"/>
      <c r="W9" s="11"/>
      <c r="X9" s="11"/>
      <c r="Y9" s="11"/>
      <c r="Z9" s="11"/>
      <c r="AA9" s="11"/>
    </row>
    <row r="10" spans="2:27" x14ac:dyDescent="0.25">
      <c r="B10" s="23" t="s">
        <v>28</v>
      </c>
      <c r="C10" s="44" t="s">
        <v>46</v>
      </c>
      <c r="D10" s="50">
        <v>12</v>
      </c>
      <c r="E10" s="51">
        <v>12</v>
      </c>
      <c r="F10" s="51">
        <v>12</v>
      </c>
      <c r="G10" s="51">
        <v>12</v>
      </c>
      <c r="H10" s="51">
        <v>12</v>
      </c>
      <c r="I10" s="51">
        <v>12</v>
      </c>
      <c r="J10" s="51">
        <v>11</v>
      </c>
      <c r="K10" s="51">
        <v>11</v>
      </c>
      <c r="L10" s="51">
        <v>11</v>
      </c>
      <c r="M10" s="51">
        <v>11</v>
      </c>
      <c r="N10" s="51">
        <v>11</v>
      </c>
      <c r="O10" s="52">
        <v>11</v>
      </c>
      <c r="P10" s="52">
        <v>11</v>
      </c>
      <c r="Q10" s="52">
        <v>11</v>
      </c>
      <c r="R10" s="52">
        <v>11</v>
      </c>
      <c r="S10" s="52">
        <v>11</v>
      </c>
      <c r="T10" s="52">
        <v>11</v>
      </c>
      <c r="U10" s="52">
        <v>11</v>
      </c>
      <c r="V10" s="51">
        <v>10</v>
      </c>
      <c r="W10" s="51">
        <v>10</v>
      </c>
      <c r="X10" s="51">
        <v>10</v>
      </c>
      <c r="Y10" s="51">
        <v>10</v>
      </c>
      <c r="Z10" s="51">
        <v>10</v>
      </c>
      <c r="AA10" s="51">
        <v>10</v>
      </c>
    </row>
    <row r="11" spans="2:27" x14ac:dyDescent="0.25">
      <c r="B11" s="23" t="s">
        <v>29</v>
      </c>
      <c r="C11" s="47" t="s">
        <v>46</v>
      </c>
      <c r="D11" s="50">
        <v>5</v>
      </c>
      <c r="E11" s="51">
        <v>5</v>
      </c>
      <c r="F11" s="51">
        <v>5</v>
      </c>
      <c r="G11" s="51">
        <v>5</v>
      </c>
      <c r="H11" s="51">
        <v>5</v>
      </c>
      <c r="I11" s="51">
        <v>5</v>
      </c>
      <c r="J11" s="51">
        <v>3</v>
      </c>
      <c r="K11" s="51">
        <v>3</v>
      </c>
      <c r="L11" s="51">
        <v>3</v>
      </c>
      <c r="M11" s="51">
        <v>3</v>
      </c>
      <c r="N11" s="51">
        <v>3</v>
      </c>
      <c r="O11" s="52">
        <v>3</v>
      </c>
      <c r="P11" s="52">
        <v>3</v>
      </c>
      <c r="Q11" s="52">
        <v>3</v>
      </c>
      <c r="R11" s="52">
        <v>3</v>
      </c>
      <c r="S11" s="52">
        <v>3</v>
      </c>
      <c r="T11" s="52">
        <v>3</v>
      </c>
      <c r="U11" s="52">
        <v>3</v>
      </c>
      <c r="V11" s="51">
        <v>2</v>
      </c>
      <c r="W11" s="51">
        <v>2</v>
      </c>
      <c r="X11" s="51">
        <v>2</v>
      </c>
      <c r="Y11" s="51">
        <v>2</v>
      </c>
      <c r="Z11" s="51">
        <v>2</v>
      </c>
      <c r="AA11" s="51">
        <v>2</v>
      </c>
    </row>
    <row r="12" spans="2:27" x14ac:dyDescent="0.25">
      <c r="B12" s="24" t="s">
        <v>30</v>
      </c>
      <c r="C12" s="48" t="s">
        <v>46</v>
      </c>
      <c r="D12" s="53">
        <v>3</v>
      </c>
      <c r="E12" s="54">
        <v>3</v>
      </c>
      <c r="F12" s="54">
        <v>3</v>
      </c>
      <c r="G12" s="54">
        <v>3</v>
      </c>
      <c r="H12" s="54">
        <v>3</v>
      </c>
      <c r="I12" s="54">
        <v>3</v>
      </c>
      <c r="J12" s="54">
        <v>3</v>
      </c>
      <c r="K12" s="54">
        <v>3</v>
      </c>
      <c r="L12" s="54">
        <v>3</v>
      </c>
      <c r="M12" s="54">
        <v>3</v>
      </c>
      <c r="N12" s="54">
        <v>3</v>
      </c>
      <c r="O12" s="55">
        <v>3</v>
      </c>
      <c r="P12" s="54">
        <v>2</v>
      </c>
      <c r="Q12" s="54">
        <v>2</v>
      </c>
      <c r="R12" s="54">
        <v>2</v>
      </c>
      <c r="S12" s="54">
        <v>2</v>
      </c>
      <c r="T12" s="54">
        <v>2</v>
      </c>
      <c r="U12" s="54">
        <v>2</v>
      </c>
      <c r="V12" s="54">
        <v>2</v>
      </c>
      <c r="W12" s="54">
        <v>2</v>
      </c>
      <c r="X12" s="54">
        <v>2</v>
      </c>
      <c r="Y12" s="54">
        <v>2</v>
      </c>
      <c r="Z12" s="54">
        <v>2</v>
      </c>
      <c r="AA12" s="54">
        <v>2</v>
      </c>
    </row>
    <row r="13" spans="2:27" ht="13.8" customHeight="1" x14ac:dyDescent="0.25">
      <c r="C13" s="15"/>
      <c r="D13" s="8"/>
      <c r="E13" s="11"/>
      <c r="F13" s="11"/>
      <c r="G13" s="11"/>
      <c r="H13" s="11"/>
      <c r="I13" s="11"/>
      <c r="J13" s="11"/>
      <c r="K13" s="11"/>
      <c r="L13" s="11"/>
      <c r="M13" s="11"/>
      <c r="N13" s="11"/>
      <c r="P13" s="11"/>
      <c r="Q13" s="11"/>
      <c r="R13" s="11"/>
      <c r="S13" s="11"/>
      <c r="T13" s="11"/>
      <c r="U13" s="11"/>
      <c r="V13" s="11"/>
      <c r="W13" s="11"/>
      <c r="X13" s="11"/>
      <c r="Y13" s="11"/>
      <c r="Z13" s="11"/>
      <c r="AA13" s="11"/>
    </row>
    <row r="14" spans="2:27" ht="13.8" customHeight="1" x14ac:dyDescent="0.25">
      <c r="B14" s="22" t="s">
        <v>31</v>
      </c>
      <c r="C14" s="11"/>
      <c r="D14" s="25"/>
      <c r="E14" s="46"/>
      <c r="F14" s="46"/>
      <c r="G14" s="46"/>
      <c r="H14" s="46"/>
      <c r="I14" s="46"/>
      <c r="J14" s="46"/>
      <c r="K14" s="46"/>
      <c r="L14" s="46"/>
      <c r="M14" s="46"/>
      <c r="N14" s="46"/>
      <c r="O14" s="26"/>
      <c r="P14" s="46"/>
      <c r="Q14" s="46"/>
      <c r="R14" s="46"/>
      <c r="S14" s="46"/>
      <c r="T14" s="46"/>
      <c r="U14" s="46"/>
      <c r="V14" s="46"/>
      <c r="W14" s="46"/>
      <c r="X14" s="46"/>
      <c r="Y14" s="46"/>
      <c r="Z14" s="46"/>
      <c r="AA14" s="46"/>
    </row>
    <row r="15" spans="2:27" ht="7.05" customHeight="1" x14ac:dyDescent="0.25">
      <c r="C15" s="11"/>
      <c r="D15" s="8"/>
      <c r="E15" s="11"/>
      <c r="F15" s="11"/>
      <c r="G15" s="11"/>
      <c r="H15" s="11"/>
      <c r="I15" s="11"/>
      <c r="J15" s="11"/>
      <c r="K15" s="11"/>
      <c r="L15" s="11"/>
      <c r="M15" s="11"/>
      <c r="N15" s="11"/>
      <c r="P15" s="11"/>
      <c r="Q15" s="11"/>
      <c r="R15" s="11"/>
      <c r="S15" s="11"/>
      <c r="T15" s="11"/>
      <c r="U15" s="11"/>
      <c r="V15" s="11"/>
      <c r="W15" s="11"/>
      <c r="X15" s="11"/>
      <c r="Y15" s="11"/>
      <c r="Z15" s="11"/>
      <c r="AA15" s="11"/>
    </row>
    <row r="16" spans="2:27" x14ac:dyDescent="0.25">
      <c r="B16" s="23" t="s">
        <v>32</v>
      </c>
      <c r="C16" s="44" t="s">
        <v>46</v>
      </c>
      <c r="D16" s="50">
        <v>10000</v>
      </c>
      <c r="E16" s="50">
        <v>10000</v>
      </c>
      <c r="F16" s="50">
        <v>10000</v>
      </c>
      <c r="G16" s="50">
        <v>10000</v>
      </c>
      <c r="H16" s="50">
        <v>10000</v>
      </c>
      <c r="I16" s="50">
        <v>10000</v>
      </c>
      <c r="J16" s="50">
        <v>10000</v>
      </c>
      <c r="K16" s="50">
        <v>10000</v>
      </c>
      <c r="L16" s="50">
        <v>10000</v>
      </c>
      <c r="M16" s="50">
        <v>10000</v>
      </c>
      <c r="N16" s="50">
        <v>10000</v>
      </c>
      <c r="O16" s="50">
        <v>10000</v>
      </c>
      <c r="P16" s="50">
        <v>12000</v>
      </c>
      <c r="Q16" s="50">
        <v>12000</v>
      </c>
      <c r="R16" s="50">
        <v>12000</v>
      </c>
      <c r="S16" s="50">
        <v>12000</v>
      </c>
      <c r="T16" s="50">
        <v>12000</v>
      </c>
      <c r="U16" s="50">
        <v>12000</v>
      </c>
      <c r="V16" s="50">
        <v>12000</v>
      </c>
      <c r="W16" s="50">
        <v>12000</v>
      </c>
      <c r="X16" s="50">
        <v>12000</v>
      </c>
      <c r="Y16" s="50">
        <v>12000</v>
      </c>
      <c r="Z16" s="50">
        <v>12000</v>
      </c>
      <c r="AA16" s="50">
        <v>12000</v>
      </c>
    </row>
    <row r="17" spans="2:27" x14ac:dyDescent="0.25">
      <c r="B17" s="23" t="s">
        <v>33</v>
      </c>
      <c r="C17" s="47" t="s">
        <v>46</v>
      </c>
      <c r="D17" s="50">
        <v>20000</v>
      </c>
      <c r="E17" s="50">
        <v>20000</v>
      </c>
      <c r="F17" s="50">
        <v>20000</v>
      </c>
      <c r="G17" s="50">
        <v>20000</v>
      </c>
      <c r="H17" s="50">
        <v>20000</v>
      </c>
      <c r="I17" s="50">
        <v>20000</v>
      </c>
      <c r="J17" s="50">
        <v>20000</v>
      </c>
      <c r="K17" s="50">
        <v>20000</v>
      </c>
      <c r="L17" s="50">
        <v>20000</v>
      </c>
      <c r="M17" s="50">
        <v>20000</v>
      </c>
      <c r="N17" s="50">
        <v>20000</v>
      </c>
      <c r="O17" s="50">
        <v>20000</v>
      </c>
      <c r="P17" s="50">
        <v>22000</v>
      </c>
      <c r="Q17" s="50">
        <v>22000</v>
      </c>
      <c r="R17" s="50">
        <v>22000</v>
      </c>
      <c r="S17" s="50">
        <v>22000</v>
      </c>
      <c r="T17" s="50">
        <v>22000</v>
      </c>
      <c r="U17" s="50">
        <v>22000</v>
      </c>
      <c r="V17" s="50">
        <v>22000</v>
      </c>
      <c r="W17" s="50">
        <v>22000</v>
      </c>
      <c r="X17" s="50">
        <v>22000</v>
      </c>
      <c r="Y17" s="50">
        <v>22000</v>
      </c>
      <c r="Z17" s="50">
        <v>22000</v>
      </c>
      <c r="AA17" s="50">
        <v>22000</v>
      </c>
    </row>
    <row r="18" spans="2:27" x14ac:dyDescent="0.25">
      <c r="B18" s="23" t="s">
        <v>34</v>
      </c>
      <c r="C18" s="47" t="s">
        <v>46</v>
      </c>
      <c r="D18" s="50">
        <v>30000</v>
      </c>
      <c r="E18" s="50">
        <v>30000</v>
      </c>
      <c r="F18" s="50">
        <v>30000</v>
      </c>
      <c r="G18" s="50">
        <v>30000</v>
      </c>
      <c r="H18" s="50">
        <v>30000</v>
      </c>
      <c r="I18" s="50">
        <v>30000</v>
      </c>
      <c r="J18" s="50">
        <v>30000</v>
      </c>
      <c r="K18" s="50">
        <v>30000</v>
      </c>
      <c r="L18" s="50">
        <v>30000</v>
      </c>
      <c r="M18" s="50">
        <v>30000</v>
      </c>
      <c r="N18" s="50">
        <v>30000</v>
      </c>
      <c r="O18" s="50">
        <v>30000</v>
      </c>
      <c r="P18" s="50">
        <v>32000</v>
      </c>
      <c r="Q18" s="50">
        <v>32000</v>
      </c>
      <c r="R18" s="50">
        <v>32000</v>
      </c>
      <c r="S18" s="50">
        <v>32000</v>
      </c>
      <c r="T18" s="50">
        <v>32000</v>
      </c>
      <c r="U18" s="50">
        <v>32000</v>
      </c>
      <c r="V18" s="50">
        <v>32000</v>
      </c>
      <c r="W18" s="50">
        <v>32000</v>
      </c>
      <c r="X18" s="50">
        <v>32000</v>
      </c>
      <c r="Y18" s="50">
        <v>32000</v>
      </c>
      <c r="Z18" s="50">
        <v>32000</v>
      </c>
      <c r="AA18" s="50">
        <v>32000</v>
      </c>
    </row>
    <row r="19" spans="2:27" x14ac:dyDescent="0.25">
      <c r="B19" s="24" t="s">
        <v>35</v>
      </c>
      <c r="C19" s="49" t="s">
        <v>46</v>
      </c>
      <c r="D19" s="53">
        <v>2000</v>
      </c>
      <c r="E19" s="53">
        <v>2000</v>
      </c>
      <c r="F19" s="53">
        <v>2000</v>
      </c>
      <c r="G19" s="53">
        <v>2000</v>
      </c>
      <c r="H19" s="53">
        <v>2000</v>
      </c>
      <c r="I19" s="53">
        <v>2000</v>
      </c>
      <c r="J19" s="53">
        <v>2000</v>
      </c>
      <c r="K19" s="53">
        <v>2000</v>
      </c>
      <c r="L19" s="53">
        <v>2000</v>
      </c>
      <c r="M19" s="53">
        <v>2000</v>
      </c>
      <c r="N19" s="53">
        <v>2000</v>
      </c>
      <c r="O19" s="53">
        <v>2000</v>
      </c>
      <c r="P19" s="53">
        <v>2200</v>
      </c>
      <c r="Q19" s="53">
        <v>2200</v>
      </c>
      <c r="R19" s="53">
        <v>2200</v>
      </c>
      <c r="S19" s="53">
        <v>2200</v>
      </c>
      <c r="T19" s="53">
        <v>2200</v>
      </c>
      <c r="U19" s="53">
        <v>2200</v>
      </c>
      <c r="V19" s="53">
        <v>2200</v>
      </c>
      <c r="W19" s="53">
        <v>2200</v>
      </c>
      <c r="X19" s="53">
        <v>2200</v>
      </c>
      <c r="Y19" s="53">
        <v>2200</v>
      </c>
      <c r="Z19" s="53">
        <v>2200</v>
      </c>
      <c r="AA19" s="53">
        <v>2200</v>
      </c>
    </row>
    <row r="21" spans="2:27" x14ac:dyDescent="0.25">
      <c r="B21" s="28" t="s">
        <v>36</v>
      </c>
      <c r="C21" s="80" t="s">
        <v>45</v>
      </c>
      <c r="D21" s="79">
        <v>0.25</v>
      </c>
      <c r="E21" s="79">
        <v>0.25</v>
      </c>
      <c r="F21" s="79">
        <v>0.25</v>
      </c>
      <c r="G21" s="79">
        <v>0.25</v>
      </c>
      <c r="H21" s="79">
        <v>0.25</v>
      </c>
      <c r="I21" s="79">
        <v>0.25</v>
      </c>
      <c r="J21" s="79">
        <v>0.25</v>
      </c>
      <c r="K21" s="79">
        <v>0.25</v>
      </c>
      <c r="L21" s="79">
        <v>0.25</v>
      </c>
      <c r="M21" s="79">
        <v>0.25</v>
      </c>
      <c r="N21" s="79">
        <v>0.25</v>
      </c>
      <c r="O21" s="79">
        <v>0.25</v>
      </c>
      <c r="P21" s="79">
        <v>0.25</v>
      </c>
      <c r="Q21" s="79">
        <v>0.25</v>
      </c>
      <c r="R21" s="79">
        <v>0.25</v>
      </c>
      <c r="S21" s="79">
        <v>0.25</v>
      </c>
      <c r="T21" s="79">
        <v>0.25</v>
      </c>
      <c r="U21" s="79">
        <v>0.25</v>
      </c>
      <c r="V21" s="79">
        <v>0.25</v>
      </c>
      <c r="W21" s="79">
        <v>0.25</v>
      </c>
      <c r="X21" s="79">
        <v>0.25</v>
      </c>
      <c r="Y21" s="79">
        <v>0.25</v>
      </c>
      <c r="Z21" s="79">
        <v>0.25</v>
      </c>
      <c r="AA21" s="79">
        <v>0.25</v>
      </c>
    </row>
    <row r="23" spans="2:27" x14ac:dyDescent="0.25">
      <c r="B23" s="7" t="s">
        <v>26</v>
      </c>
      <c r="C23" s="3"/>
      <c r="D23" s="100" t="s">
        <v>38</v>
      </c>
      <c r="E23" s="100"/>
      <c r="F23" s="100"/>
      <c r="G23" s="100"/>
      <c r="H23" s="100"/>
      <c r="I23" s="100"/>
      <c r="J23" s="100"/>
      <c r="K23" s="100"/>
      <c r="L23" s="100"/>
      <c r="M23" s="100"/>
      <c r="N23" s="100"/>
      <c r="O23" s="100"/>
      <c r="P23" s="100"/>
      <c r="Q23" s="100"/>
      <c r="R23" s="100"/>
      <c r="S23" s="100"/>
      <c r="T23" s="100"/>
      <c r="U23" s="100"/>
      <c r="V23" s="100"/>
      <c r="W23" s="100"/>
      <c r="X23" s="100"/>
      <c r="Y23" s="100"/>
      <c r="Z23" s="100"/>
      <c r="AA23" s="100"/>
    </row>
    <row r="24" spans="2:27" ht="7.05" customHeight="1" x14ac:dyDescent="0.25"/>
    <row r="25" spans="2:27" x14ac:dyDescent="0.25">
      <c r="B25" s="22" t="s">
        <v>27</v>
      </c>
      <c r="C25" s="46"/>
      <c r="D25" s="46"/>
      <c r="E25" s="46"/>
      <c r="F25" s="46"/>
      <c r="G25" s="46"/>
      <c r="H25" s="46"/>
      <c r="I25" s="46"/>
      <c r="J25" s="46"/>
      <c r="K25" s="46"/>
      <c r="L25" s="46"/>
      <c r="M25" s="46"/>
      <c r="N25" s="46"/>
      <c r="O25" s="26"/>
      <c r="P25" s="46"/>
      <c r="Q25" s="46"/>
      <c r="R25" s="46"/>
      <c r="S25" s="46"/>
      <c r="T25" s="46"/>
      <c r="U25" s="46"/>
      <c r="V25" s="46"/>
      <c r="W25" s="46"/>
      <c r="X25" s="46"/>
      <c r="Y25" s="46"/>
      <c r="Z25" s="46"/>
      <c r="AA25" s="46"/>
    </row>
    <row r="26" spans="2:27" ht="7.05" customHeight="1" x14ac:dyDescent="0.25">
      <c r="B26" s="21"/>
      <c r="C26" s="11"/>
      <c r="D26" s="11"/>
      <c r="E26" s="11"/>
      <c r="F26" s="11"/>
      <c r="G26" s="11"/>
      <c r="H26" s="11"/>
      <c r="I26" s="11"/>
      <c r="J26" s="11"/>
      <c r="K26" s="11"/>
      <c r="L26" s="11"/>
      <c r="M26" s="11"/>
      <c r="N26" s="11"/>
      <c r="P26" s="11"/>
      <c r="Q26" s="11"/>
      <c r="R26" s="11"/>
      <c r="S26" s="11"/>
      <c r="T26" s="11"/>
      <c r="U26" s="11"/>
      <c r="V26" s="11"/>
      <c r="W26" s="11"/>
      <c r="X26" s="11"/>
      <c r="Y26" s="11"/>
      <c r="Z26" s="11"/>
      <c r="AA26" s="11"/>
    </row>
    <row r="27" spans="2:27" x14ac:dyDescent="0.25">
      <c r="B27" s="23" t="s">
        <v>28</v>
      </c>
      <c r="C27" s="44" t="s">
        <v>46</v>
      </c>
      <c r="D27" s="50">
        <v>12</v>
      </c>
      <c r="E27" s="51">
        <v>12</v>
      </c>
      <c r="F27" s="51">
        <v>12</v>
      </c>
      <c r="G27" s="51">
        <v>12</v>
      </c>
      <c r="H27" s="51">
        <v>12</v>
      </c>
      <c r="I27" s="51">
        <v>12</v>
      </c>
      <c r="J27" s="51">
        <v>12</v>
      </c>
      <c r="K27" s="51">
        <v>12</v>
      </c>
      <c r="L27" s="51">
        <v>12</v>
      </c>
      <c r="M27" s="51">
        <v>12</v>
      </c>
      <c r="N27" s="51">
        <v>12</v>
      </c>
      <c r="O27" s="52">
        <v>12</v>
      </c>
      <c r="P27" s="51">
        <v>11</v>
      </c>
      <c r="Q27" s="51">
        <v>11</v>
      </c>
      <c r="R27" s="51">
        <v>11</v>
      </c>
      <c r="S27" s="51">
        <v>11</v>
      </c>
      <c r="T27" s="51">
        <v>11</v>
      </c>
      <c r="U27" s="51">
        <v>11</v>
      </c>
      <c r="V27" s="51">
        <v>11</v>
      </c>
      <c r="W27" s="51">
        <v>11</v>
      </c>
      <c r="X27" s="51">
        <v>11</v>
      </c>
      <c r="Y27" s="51">
        <v>11</v>
      </c>
      <c r="Z27" s="51">
        <v>11</v>
      </c>
      <c r="AA27" s="51">
        <v>11</v>
      </c>
    </row>
    <row r="28" spans="2:27" x14ac:dyDescent="0.25">
      <c r="B28" s="23" t="s">
        <v>29</v>
      </c>
      <c r="C28" s="47" t="s">
        <v>46</v>
      </c>
      <c r="D28" s="50">
        <v>5</v>
      </c>
      <c r="E28" s="51">
        <v>5</v>
      </c>
      <c r="F28" s="51">
        <v>5</v>
      </c>
      <c r="G28" s="51">
        <v>5</v>
      </c>
      <c r="H28" s="51">
        <v>5</v>
      </c>
      <c r="I28" s="51">
        <v>5</v>
      </c>
      <c r="J28" s="51">
        <v>4</v>
      </c>
      <c r="K28" s="51">
        <v>4</v>
      </c>
      <c r="L28" s="51">
        <v>4</v>
      </c>
      <c r="M28" s="51">
        <v>4</v>
      </c>
      <c r="N28" s="51">
        <v>4</v>
      </c>
      <c r="O28" s="52">
        <v>4</v>
      </c>
      <c r="P28" s="52">
        <v>4</v>
      </c>
      <c r="Q28" s="52">
        <v>4</v>
      </c>
      <c r="R28" s="52">
        <v>4</v>
      </c>
      <c r="S28" s="52">
        <v>4</v>
      </c>
      <c r="T28" s="52">
        <v>4</v>
      </c>
      <c r="U28" s="52">
        <v>4</v>
      </c>
      <c r="V28" s="51">
        <v>3</v>
      </c>
      <c r="W28" s="51">
        <v>3</v>
      </c>
      <c r="X28" s="51">
        <v>3</v>
      </c>
      <c r="Y28" s="51">
        <v>3</v>
      </c>
      <c r="Z28" s="51">
        <v>3</v>
      </c>
      <c r="AA28" s="51">
        <v>3</v>
      </c>
    </row>
    <row r="29" spans="2:27" x14ac:dyDescent="0.25">
      <c r="B29" s="24" t="s">
        <v>30</v>
      </c>
      <c r="C29" s="48" t="s">
        <v>46</v>
      </c>
      <c r="D29" s="53">
        <v>4</v>
      </c>
      <c r="E29" s="54">
        <v>4</v>
      </c>
      <c r="F29" s="54">
        <v>4</v>
      </c>
      <c r="G29" s="54">
        <v>4</v>
      </c>
      <c r="H29" s="54">
        <v>4</v>
      </c>
      <c r="I29" s="54">
        <v>4</v>
      </c>
      <c r="J29" s="54">
        <v>4</v>
      </c>
      <c r="K29" s="54">
        <v>4</v>
      </c>
      <c r="L29" s="54">
        <v>4</v>
      </c>
      <c r="M29" s="54">
        <v>4</v>
      </c>
      <c r="N29" s="54">
        <v>4</v>
      </c>
      <c r="O29" s="55">
        <v>4</v>
      </c>
      <c r="P29" s="54">
        <v>3</v>
      </c>
      <c r="Q29" s="54">
        <v>3</v>
      </c>
      <c r="R29" s="54">
        <v>3</v>
      </c>
      <c r="S29" s="54">
        <v>3</v>
      </c>
      <c r="T29" s="54">
        <v>3</v>
      </c>
      <c r="U29" s="54">
        <v>3</v>
      </c>
      <c r="V29" s="54">
        <v>3</v>
      </c>
      <c r="W29" s="54">
        <v>3</v>
      </c>
      <c r="X29" s="54">
        <v>3</v>
      </c>
      <c r="Y29" s="54">
        <v>3</v>
      </c>
      <c r="Z29" s="54">
        <v>3</v>
      </c>
      <c r="AA29" s="54">
        <v>3</v>
      </c>
    </row>
    <row r="30" spans="2:27" x14ac:dyDescent="0.25">
      <c r="C30" s="15"/>
      <c r="D30" s="8"/>
      <c r="E30" s="11"/>
      <c r="F30" s="11"/>
      <c r="G30" s="11"/>
      <c r="H30" s="11"/>
      <c r="I30" s="11"/>
      <c r="J30" s="11"/>
      <c r="K30" s="11"/>
      <c r="L30" s="11"/>
      <c r="M30" s="11"/>
      <c r="N30" s="11"/>
      <c r="P30" s="11"/>
      <c r="Q30" s="11"/>
      <c r="R30" s="11"/>
      <c r="S30" s="11"/>
      <c r="T30" s="11"/>
      <c r="U30" s="11"/>
      <c r="V30" s="11"/>
      <c r="W30" s="11"/>
      <c r="X30" s="11"/>
      <c r="Y30" s="11"/>
      <c r="Z30" s="11"/>
      <c r="AA30" s="11"/>
    </row>
    <row r="31" spans="2:27" x14ac:dyDescent="0.25">
      <c r="B31" s="22" t="s">
        <v>31</v>
      </c>
      <c r="C31" s="11"/>
      <c r="D31" s="25"/>
      <c r="E31" s="46"/>
      <c r="F31" s="46"/>
      <c r="G31" s="46"/>
      <c r="H31" s="46"/>
      <c r="I31" s="46"/>
      <c r="J31" s="46"/>
      <c r="K31" s="46"/>
      <c r="L31" s="46"/>
      <c r="M31" s="46"/>
      <c r="N31" s="46"/>
      <c r="O31" s="26"/>
      <c r="P31" s="46"/>
      <c r="Q31" s="46"/>
      <c r="R31" s="46"/>
      <c r="S31" s="46"/>
      <c r="T31" s="46"/>
      <c r="U31" s="46"/>
      <c r="V31" s="46"/>
      <c r="W31" s="46"/>
      <c r="X31" s="46"/>
      <c r="Y31" s="46"/>
      <c r="Z31" s="46"/>
      <c r="AA31" s="46"/>
    </row>
    <row r="32" spans="2:27" ht="7.05" customHeight="1" x14ac:dyDescent="0.25">
      <c r="C32" s="11"/>
      <c r="D32" s="8"/>
      <c r="E32" s="11"/>
      <c r="F32" s="11"/>
      <c r="G32" s="11"/>
      <c r="H32" s="11"/>
      <c r="I32" s="11"/>
      <c r="J32" s="11"/>
      <c r="K32" s="11"/>
      <c r="L32" s="11"/>
      <c r="M32" s="11"/>
      <c r="N32" s="11"/>
      <c r="P32" s="11"/>
      <c r="Q32" s="11"/>
      <c r="R32" s="11"/>
      <c r="S32" s="11"/>
      <c r="T32" s="11"/>
      <c r="U32" s="11"/>
      <c r="V32" s="11"/>
      <c r="W32" s="11"/>
      <c r="X32" s="11"/>
      <c r="Y32" s="11"/>
      <c r="Z32" s="11"/>
      <c r="AA32" s="11"/>
    </row>
    <row r="33" spans="2:27" x14ac:dyDescent="0.25">
      <c r="B33" s="23" t="s">
        <v>32</v>
      </c>
      <c r="C33" s="44" t="s">
        <v>46</v>
      </c>
      <c r="D33" s="50">
        <v>12000</v>
      </c>
      <c r="E33" s="50">
        <v>12000</v>
      </c>
      <c r="F33" s="50">
        <v>12000</v>
      </c>
      <c r="G33" s="50">
        <v>12000</v>
      </c>
      <c r="H33" s="50">
        <v>12000</v>
      </c>
      <c r="I33" s="50">
        <v>12000</v>
      </c>
      <c r="J33" s="50">
        <v>12000</v>
      </c>
      <c r="K33" s="50">
        <v>12000</v>
      </c>
      <c r="L33" s="50">
        <v>12000</v>
      </c>
      <c r="M33" s="50">
        <v>12000</v>
      </c>
      <c r="N33" s="50">
        <v>12000</v>
      </c>
      <c r="O33" s="50">
        <v>12000</v>
      </c>
      <c r="P33" s="50">
        <v>13000</v>
      </c>
      <c r="Q33" s="50">
        <v>13000</v>
      </c>
      <c r="R33" s="50">
        <v>13000</v>
      </c>
      <c r="S33" s="50">
        <v>13000</v>
      </c>
      <c r="T33" s="50">
        <v>13000</v>
      </c>
      <c r="U33" s="50">
        <v>13000</v>
      </c>
      <c r="V33" s="50">
        <v>13000</v>
      </c>
      <c r="W33" s="50">
        <v>13000</v>
      </c>
      <c r="X33" s="50">
        <v>13000</v>
      </c>
      <c r="Y33" s="50">
        <v>13000</v>
      </c>
      <c r="Z33" s="50">
        <v>13000</v>
      </c>
      <c r="AA33" s="50">
        <v>13000</v>
      </c>
    </row>
    <row r="34" spans="2:27" x14ac:dyDescent="0.25">
      <c r="B34" s="23" t="s">
        <v>33</v>
      </c>
      <c r="C34" s="47" t="s">
        <v>46</v>
      </c>
      <c r="D34" s="50">
        <v>22000</v>
      </c>
      <c r="E34" s="50">
        <v>22000</v>
      </c>
      <c r="F34" s="50">
        <v>22000</v>
      </c>
      <c r="G34" s="50">
        <v>22000</v>
      </c>
      <c r="H34" s="50">
        <v>22000</v>
      </c>
      <c r="I34" s="50">
        <v>22000</v>
      </c>
      <c r="J34" s="50">
        <v>22000</v>
      </c>
      <c r="K34" s="50">
        <v>22000</v>
      </c>
      <c r="L34" s="50">
        <v>22000</v>
      </c>
      <c r="M34" s="50">
        <v>22000</v>
      </c>
      <c r="N34" s="50">
        <v>22000</v>
      </c>
      <c r="O34" s="50">
        <v>22000</v>
      </c>
      <c r="P34" s="50">
        <v>23000</v>
      </c>
      <c r="Q34" s="50">
        <v>23000</v>
      </c>
      <c r="R34" s="50">
        <v>23000</v>
      </c>
      <c r="S34" s="50">
        <v>23000</v>
      </c>
      <c r="T34" s="50">
        <v>23000</v>
      </c>
      <c r="U34" s="50">
        <v>23000</v>
      </c>
      <c r="V34" s="50">
        <v>23000</v>
      </c>
      <c r="W34" s="50">
        <v>23000</v>
      </c>
      <c r="X34" s="50">
        <v>23000</v>
      </c>
      <c r="Y34" s="50">
        <v>23000</v>
      </c>
      <c r="Z34" s="50">
        <v>23000</v>
      </c>
      <c r="AA34" s="50">
        <v>23000</v>
      </c>
    </row>
    <row r="35" spans="2:27" x14ac:dyDescent="0.25">
      <c r="B35" s="23" t="s">
        <v>34</v>
      </c>
      <c r="C35" s="47" t="s">
        <v>46</v>
      </c>
      <c r="D35" s="50">
        <v>32000</v>
      </c>
      <c r="E35" s="50">
        <v>32000</v>
      </c>
      <c r="F35" s="50">
        <v>32000</v>
      </c>
      <c r="G35" s="50">
        <v>32000</v>
      </c>
      <c r="H35" s="50">
        <v>32000</v>
      </c>
      <c r="I35" s="50">
        <v>32000</v>
      </c>
      <c r="J35" s="50">
        <v>32000</v>
      </c>
      <c r="K35" s="50">
        <v>32000</v>
      </c>
      <c r="L35" s="50">
        <v>32000</v>
      </c>
      <c r="M35" s="50">
        <v>32000</v>
      </c>
      <c r="N35" s="50">
        <v>32000</v>
      </c>
      <c r="O35" s="50">
        <v>32000</v>
      </c>
      <c r="P35" s="50">
        <v>33000</v>
      </c>
      <c r="Q35" s="50">
        <v>33000</v>
      </c>
      <c r="R35" s="50">
        <v>33000</v>
      </c>
      <c r="S35" s="50">
        <v>33000</v>
      </c>
      <c r="T35" s="50">
        <v>33000</v>
      </c>
      <c r="U35" s="50">
        <v>33000</v>
      </c>
      <c r="V35" s="50">
        <v>33000</v>
      </c>
      <c r="W35" s="50">
        <v>33000</v>
      </c>
      <c r="X35" s="50">
        <v>33000</v>
      </c>
      <c r="Y35" s="50">
        <v>33000</v>
      </c>
      <c r="Z35" s="50">
        <v>33000</v>
      </c>
      <c r="AA35" s="50">
        <v>33000</v>
      </c>
    </row>
    <row r="36" spans="2:27" x14ac:dyDescent="0.25">
      <c r="B36" s="24" t="s">
        <v>35</v>
      </c>
      <c r="C36" s="49" t="s">
        <v>46</v>
      </c>
      <c r="D36" s="53">
        <v>2200</v>
      </c>
      <c r="E36" s="53">
        <v>2200</v>
      </c>
      <c r="F36" s="53">
        <v>2200</v>
      </c>
      <c r="G36" s="53">
        <v>2200</v>
      </c>
      <c r="H36" s="53">
        <v>2200</v>
      </c>
      <c r="I36" s="53">
        <v>2200</v>
      </c>
      <c r="J36" s="53">
        <v>2200</v>
      </c>
      <c r="K36" s="53">
        <v>2200</v>
      </c>
      <c r="L36" s="53">
        <v>2200</v>
      </c>
      <c r="M36" s="53">
        <v>2200</v>
      </c>
      <c r="N36" s="53">
        <v>2200</v>
      </c>
      <c r="O36" s="53">
        <v>2200</v>
      </c>
      <c r="P36" s="53">
        <v>2300</v>
      </c>
      <c r="Q36" s="53">
        <v>2300</v>
      </c>
      <c r="R36" s="53">
        <v>2300</v>
      </c>
      <c r="S36" s="53">
        <v>2300</v>
      </c>
      <c r="T36" s="53">
        <v>2300</v>
      </c>
      <c r="U36" s="53">
        <v>2300</v>
      </c>
      <c r="V36" s="53">
        <v>2300</v>
      </c>
      <c r="W36" s="53">
        <v>2300</v>
      </c>
      <c r="X36" s="53">
        <v>2300</v>
      </c>
      <c r="Y36" s="53">
        <v>2300</v>
      </c>
      <c r="Z36" s="53">
        <v>2300</v>
      </c>
      <c r="AA36" s="53">
        <v>2300</v>
      </c>
    </row>
    <row r="38" spans="2:27" x14ac:dyDescent="0.25">
      <c r="B38" s="28" t="s">
        <v>36</v>
      </c>
      <c r="C38" s="80" t="s">
        <v>45</v>
      </c>
      <c r="D38" s="79">
        <v>0.25</v>
      </c>
      <c r="E38" s="79">
        <v>0.25</v>
      </c>
      <c r="F38" s="79">
        <v>0.25</v>
      </c>
      <c r="G38" s="79">
        <v>0.25</v>
      </c>
      <c r="H38" s="79">
        <v>0.25</v>
      </c>
      <c r="I38" s="79">
        <v>0.25</v>
      </c>
      <c r="J38" s="79">
        <v>0.25</v>
      </c>
      <c r="K38" s="79">
        <v>0.25</v>
      </c>
      <c r="L38" s="79">
        <v>0.25</v>
      </c>
      <c r="M38" s="79">
        <v>0.25</v>
      </c>
      <c r="N38" s="79">
        <v>0.25</v>
      </c>
      <c r="O38" s="79">
        <v>0.25</v>
      </c>
      <c r="P38" s="79">
        <v>0.25</v>
      </c>
      <c r="Q38" s="79">
        <v>0.25</v>
      </c>
      <c r="R38" s="79">
        <v>0.25</v>
      </c>
      <c r="S38" s="79">
        <v>0.25</v>
      </c>
      <c r="T38" s="79">
        <v>0.25</v>
      </c>
      <c r="U38" s="79">
        <v>0.25</v>
      </c>
      <c r="V38" s="79">
        <v>0.25</v>
      </c>
      <c r="W38" s="79">
        <v>0.25</v>
      </c>
      <c r="X38" s="79">
        <v>0.25</v>
      </c>
      <c r="Y38" s="79">
        <v>0.25</v>
      </c>
      <c r="Z38" s="79">
        <v>0.25</v>
      </c>
      <c r="AA38" s="79">
        <v>0.25</v>
      </c>
    </row>
    <row r="40" spans="2:27" x14ac:dyDescent="0.25">
      <c r="B40" s="7" t="s">
        <v>26</v>
      </c>
      <c r="C40" s="3"/>
      <c r="D40" s="100" t="s">
        <v>39</v>
      </c>
      <c r="E40" s="100"/>
      <c r="F40" s="100"/>
      <c r="G40" s="100"/>
      <c r="H40" s="100"/>
      <c r="I40" s="100"/>
      <c r="J40" s="100"/>
      <c r="K40" s="100"/>
      <c r="L40" s="100"/>
      <c r="M40" s="100"/>
      <c r="N40" s="100"/>
      <c r="O40" s="100"/>
      <c r="P40" s="100"/>
      <c r="Q40" s="100"/>
      <c r="R40" s="100"/>
      <c r="S40" s="100"/>
      <c r="T40" s="100"/>
      <c r="U40" s="100"/>
      <c r="V40" s="100"/>
      <c r="W40" s="100"/>
      <c r="X40" s="100"/>
      <c r="Y40" s="100"/>
      <c r="Z40" s="100"/>
      <c r="AA40" s="100"/>
    </row>
    <row r="41" spans="2:27" ht="7.05" customHeight="1" x14ac:dyDescent="0.25"/>
    <row r="42" spans="2:27" x14ac:dyDescent="0.25">
      <c r="B42" s="22" t="s">
        <v>27</v>
      </c>
      <c r="C42" s="46"/>
      <c r="D42" s="46"/>
      <c r="E42" s="46"/>
      <c r="F42" s="46"/>
      <c r="G42" s="46"/>
      <c r="H42" s="46"/>
      <c r="I42" s="46"/>
      <c r="J42" s="46"/>
      <c r="K42" s="46"/>
      <c r="L42" s="46"/>
      <c r="M42" s="46"/>
      <c r="N42" s="46"/>
      <c r="O42" s="26"/>
      <c r="P42" s="46"/>
      <c r="Q42" s="46"/>
      <c r="R42" s="46"/>
      <c r="S42" s="46"/>
      <c r="T42" s="46"/>
      <c r="U42" s="46"/>
      <c r="V42" s="46"/>
      <c r="W42" s="46"/>
      <c r="X42" s="46"/>
      <c r="Y42" s="46"/>
      <c r="Z42" s="46"/>
      <c r="AA42" s="46"/>
    </row>
    <row r="43" spans="2:27" ht="7.05" customHeight="1" x14ac:dyDescent="0.25">
      <c r="B43" s="21"/>
      <c r="C43" s="11"/>
      <c r="D43" s="11"/>
      <c r="E43" s="11"/>
      <c r="F43" s="11"/>
      <c r="G43" s="11"/>
      <c r="H43" s="11"/>
      <c r="I43" s="11"/>
      <c r="J43" s="11"/>
      <c r="K43" s="11"/>
      <c r="L43" s="11"/>
      <c r="M43" s="11"/>
      <c r="N43" s="11"/>
      <c r="P43" s="11"/>
      <c r="Q43" s="11"/>
      <c r="R43" s="11"/>
      <c r="S43" s="11"/>
      <c r="T43" s="11"/>
      <c r="U43" s="11"/>
      <c r="V43" s="11"/>
      <c r="W43" s="11"/>
      <c r="X43" s="11"/>
      <c r="Y43" s="11"/>
      <c r="Z43" s="11"/>
      <c r="AA43" s="11"/>
    </row>
    <row r="44" spans="2:27" x14ac:dyDescent="0.25">
      <c r="B44" s="23" t="s">
        <v>28</v>
      </c>
      <c r="C44" s="44" t="s">
        <v>46</v>
      </c>
      <c r="D44" s="50">
        <v>12</v>
      </c>
      <c r="E44" s="51">
        <v>12</v>
      </c>
      <c r="F44" s="51">
        <v>12</v>
      </c>
      <c r="G44" s="51">
        <v>12</v>
      </c>
      <c r="H44" s="51">
        <v>12</v>
      </c>
      <c r="I44" s="51">
        <v>12</v>
      </c>
      <c r="J44" s="51">
        <v>12</v>
      </c>
      <c r="K44" s="51">
        <v>13</v>
      </c>
      <c r="L44" s="51">
        <v>13</v>
      </c>
      <c r="M44" s="51">
        <v>13</v>
      </c>
      <c r="N44" s="51">
        <v>13</v>
      </c>
      <c r="O44" s="52">
        <v>13</v>
      </c>
      <c r="P44" s="51">
        <v>12</v>
      </c>
      <c r="Q44" s="51">
        <v>12</v>
      </c>
      <c r="R44" s="51">
        <v>12</v>
      </c>
      <c r="S44" s="51">
        <v>12</v>
      </c>
      <c r="T44" s="51">
        <v>12</v>
      </c>
      <c r="U44" s="51">
        <v>12</v>
      </c>
      <c r="V44" s="51">
        <v>12</v>
      </c>
      <c r="W44" s="51">
        <v>12</v>
      </c>
      <c r="X44" s="51">
        <v>12</v>
      </c>
      <c r="Y44" s="51">
        <v>12</v>
      </c>
      <c r="Z44" s="51">
        <v>12</v>
      </c>
      <c r="AA44" s="51">
        <v>12</v>
      </c>
    </row>
    <row r="45" spans="2:27" x14ac:dyDescent="0.25">
      <c r="B45" s="23" t="s">
        <v>29</v>
      </c>
      <c r="C45" s="47" t="s">
        <v>46</v>
      </c>
      <c r="D45" s="50">
        <v>5</v>
      </c>
      <c r="E45" s="51">
        <v>5</v>
      </c>
      <c r="F45" s="51">
        <v>5</v>
      </c>
      <c r="G45" s="51">
        <v>5</v>
      </c>
      <c r="H45" s="51">
        <v>5</v>
      </c>
      <c r="I45" s="51">
        <v>5</v>
      </c>
      <c r="J45" s="51">
        <v>5</v>
      </c>
      <c r="K45" s="51">
        <v>5</v>
      </c>
      <c r="L45" s="51">
        <v>5</v>
      </c>
      <c r="M45" s="51">
        <v>5</v>
      </c>
      <c r="N45" s="51">
        <v>5</v>
      </c>
      <c r="O45" s="52">
        <v>5</v>
      </c>
      <c r="P45" s="52">
        <v>5</v>
      </c>
      <c r="Q45" s="52">
        <v>5</v>
      </c>
      <c r="R45" s="52">
        <v>5</v>
      </c>
      <c r="S45" s="52">
        <v>5</v>
      </c>
      <c r="T45" s="52">
        <v>5</v>
      </c>
      <c r="U45" s="52">
        <v>5</v>
      </c>
      <c r="V45" s="51">
        <v>4</v>
      </c>
      <c r="W45" s="51">
        <v>4</v>
      </c>
      <c r="X45" s="51">
        <v>4</v>
      </c>
      <c r="Y45" s="51">
        <v>4</v>
      </c>
      <c r="Z45" s="51">
        <v>4</v>
      </c>
      <c r="AA45" s="51">
        <v>4</v>
      </c>
    </row>
    <row r="46" spans="2:27" x14ac:dyDescent="0.25">
      <c r="B46" s="24" t="s">
        <v>30</v>
      </c>
      <c r="C46" s="48" t="s">
        <v>46</v>
      </c>
      <c r="D46" s="53">
        <v>5</v>
      </c>
      <c r="E46" s="54">
        <v>5</v>
      </c>
      <c r="F46" s="54">
        <v>5</v>
      </c>
      <c r="G46" s="54">
        <v>5</v>
      </c>
      <c r="H46" s="54">
        <v>5</v>
      </c>
      <c r="I46" s="54">
        <v>5</v>
      </c>
      <c r="J46" s="54">
        <v>5</v>
      </c>
      <c r="K46" s="54">
        <v>5</v>
      </c>
      <c r="L46" s="54">
        <v>5</v>
      </c>
      <c r="M46" s="54">
        <v>5</v>
      </c>
      <c r="N46" s="54">
        <v>5</v>
      </c>
      <c r="O46" s="55">
        <v>5</v>
      </c>
      <c r="P46" s="54">
        <v>4</v>
      </c>
      <c r="Q46" s="54">
        <v>4</v>
      </c>
      <c r="R46" s="54">
        <v>4</v>
      </c>
      <c r="S46" s="54">
        <v>4</v>
      </c>
      <c r="T46" s="54">
        <v>4</v>
      </c>
      <c r="U46" s="54">
        <v>4</v>
      </c>
      <c r="V46" s="54">
        <v>4</v>
      </c>
      <c r="W46" s="54">
        <v>4</v>
      </c>
      <c r="X46" s="54">
        <v>4</v>
      </c>
      <c r="Y46" s="54">
        <v>4</v>
      </c>
      <c r="Z46" s="54">
        <v>4</v>
      </c>
      <c r="AA46" s="54">
        <v>4</v>
      </c>
    </row>
    <row r="47" spans="2:27" x14ac:dyDescent="0.25">
      <c r="C47" s="15"/>
      <c r="D47" s="8"/>
      <c r="E47" s="11"/>
      <c r="F47" s="11"/>
      <c r="G47" s="11"/>
      <c r="H47" s="11"/>
      <c r="I47" s="11"/>
      <c r="J47" s="11"/>
      <c r="K47" s="11"/>
      <c r="L47" s="11"/>
      <c r="M47" s="11"/>
      <c r="N47" s="11"/>
      <c r="P47" s="11"/>
      <c r="Q47" s="11"/>
      <c r="R47" s="11"/>
      <c r="S47" s="11"/>
      <c r="T47" s="11"/>
      <c r="U47" s="11"/>
      <c r="V47" s="11"/>
      <c r="W47" s="11"/>
      <c r="X47" s="11"/>
      <c r="Y47" s="11"/>
      <c r="Z47" s="11"/>
      <c r="AA47" s="11"/>
    </row>
    <row r="48" spans="2:27" x14ac:dyDescent="0.25">
      <c r="B48" s="22" t="s">
        <v>31</v>
      </c>
      <c r="C48" s="11"/>
      <c r="D48" s="25"/>
      <c r="E48" s="46"/>
      <c r="F48" s="46"/>
      <c r="G48" s="46"/>
      <c r="H48" s="46"/>
      <c r="I48" s="46"/>
      <c r="J48" s="46"/>
      <c r="K48" s="46"/>
      <c r="L48" s="46"/>
      <c r="M48" s="46"/>
      <c r="N48" s="46"/>
      <c r="O48" s="26"/>
      <c r="P48" s="46"/>
      <c r="Q48" s="46"/>
      <c r="R48" s="46"/>
      <c r="S48" s="46"/>
      <c r="T48" s="46"/>
      <c r="U48" s="46"/>
      <c r="V48" s="46"/>
      <c r="W48" s="46"/>
      <c r="X48" s="46"/>
      <c r="Y48" s="46"/>
      <c r="Z48" s="46"/>
      <c r="AA48" s="46"/>
    </row>
    <row r="49" spans="2:27" ht="7.05" customHeight="1" x14ac:dyDescent="0.25">
      <c r="C49" s="11"/>
      <c r="D49" s="8"/>
      <c r="E49" s="11"/>
      <c r="F49" s="11"/>
      <c r="G49" s="11"/>
      <c r="H49" s="11"/>
      <c r="I49" s="11"/>
      <c r="J49" s="11"/>
      <c r="K49" s="11"/>
      <c r="L49" s="11"/>
      <c r="M49" s="11"/>
      <c r="N49" s="11"/>
      <c r="P49" s="11"/>
      <c r="Q49" s="11"/>
      <c r="R49" s="11"/>
      <c r="S49" s="11"/>
      <c r="T49" s="11"/>
      <c r="U49" s="11"/>
      <c r="V49" s="11"/>
      <c r="W49" s="11"/>
      <c r="X49" s="11"/>
      <c r="Y49" s="11"/>
      <c r="Z49" s="11"/>
      <c r="AA49" s="11"/>
    </row>
    <row r="50" spans="2:27" x14ac:dyDescent="0.25">
      <c r="B50" s="23" t="s">
        <v>32</v>
      </c>
      <c r="C50" s="44" t="s">
        <v>46</v>
      </c>
      <c r="D50" s="50">
        <v>14000</v>
      </c>
      <c r="E50" s="50">
        <v>14000</v>
      </c>
      <c r="F50" s="50">
        <v>14000</v>
      </c>
      <c r="G50" s="50">
        <v>14000</v>
      </c>
      <c r="H50" s="50">
        <v>14000</v>
      </c>
      <c r="I50" s="50">
        <v>14000</v>
      </c>
      <c r="J50" s="50">
        <v>14000</v>
      </c>
      <c r="K50" s="50">
        <v>14000</v>
      </c>
      <c r="L50" s="50">
        <v>14000</v>
      </c>
      <c r="M50" s="50">
        <v>14000</v>
      </c>
      <c r="N50" s="50">
        <v>14000</v>
      </c>
      <c r="O50" s="50">
        <v>14000</v>
      </c>
      <c r="P50" s="50">
        <v>16000</v>
      </c>
      <c r="Q50" s="50">
        <v>16000</v>
      </c>
      <c r="R50" s="50">
        <v>16000</v>
      </c>
      <c r="S50" s="50">
        <v>16000</v>
      </c>
      <c r="T50" s="50">
        <v>16000</v>
      </c>
      <c r="U50" s="50">
        <v>16000</v>
      </c>
      <c r="V50" s="50">
        <v>16000</v>
      </c>
      <c r="W50" s="50">
        <v>16000</v>
      </c>
      <c r="X50" s="50">
        <v>16000</v>
      </c>
      <c r="Y50" s="50">
        <v>16000</v>
      </c>
      <c r="Z50" s="50">
        <v>16000</v>
      </c>
      <c r="AA50" s="50">
        <v>16000</v>
      </c>
    </row>
    <row r="51" spans="2:27" x14ac:dyDescent="0.25">
      <c r="B51" s="23" t="s">
        <v>33</v>
      </c>
      <c r="C51" s="47" t="s">
        <v>46</v>
      </c>
      <c r="D51" s="50">
        <v>24000</v>
      </c>
      <c r="E51" s="50">
        <v>24000</v>
      </c>
      <c r="F51" s="50">
        <v>24000</v>
      </c>
      <c r="G51" s="50">
        <v>24000</v>
      </c>
      <c r="H51" s="50">
        <v>24000</v>
      </c>
      <c r="I51" s="50">
        <v>24000</v>
      </c>
      <c r="J51" s="50">
        <v>24000</v>
      </c>
      <c r="K51" s="50">
        <v>24000</v>
      </c>
      <c r="L51" s="50">
        <v>24000</v>
      </c>
      <c r="M51" s="50">
        <v>24000</v>
      </c>
      <c r="N51" s="50">
        <v>24000</v>
      </c>
      <c r="O51" s="50">
        <v>24000</v>
      </c>
      <c r="P51" s="50">
        <v>26000</v>
      </c>
      <c r="Q51" s="50">
        <v>26000</v>
      </c>
      <c r="R51" s="50">
        <v>26000</v>
      </c>
      <c r="S51" s="50">
        <v>26000</v>
      </c>
      <c r="T51" s="50">
        <v>26000</v>
      </c>
      <c r="U51" s="50">
        <v>26000</v>
      </c>
      <c r="V51" s="50">
        <v>26000</v>
      </c>
      <c r="W51" s="50">
        <v>26000</v>
      </c>
      <c r="X51" s="50">
        <v>26000</v>
      </c>
      <c r="Y51" s="50">
        <v>26000</v>
      </c>
      <c r="Z51" s="50">
        <v>26000</v>
      </c>
      <c r="AA51" s="50">
        <v>26000</v>
      </c>
    </row>
    <row r="52" spans="2:27" x14ac:dyDescent="0.25">
      <c r="B52" s="23" t="s">
        <v>34</v>
      </c>
      <c r="C52" s="47" t="s">
        <v>46</v>
      </c>
      <c r="D52" s="50">
        <v>34000</v>
      </c>
      <c r="E52" s="50">
        <v>34000</v>
      </c>
      <c r="F52" s="50">
        <v>34000</v>
      </c>
      <c r="G52" s="50">
        <v>34000</v>
      </c>
      <c r="H52" s="50">
        <v>34000</v>
      </c>
      <c r="I52" s="50">
        <v>34000</v>
      </c>
      <c r="J52" s="50">
        <v>34000</v>
      </c>
      <c r="K52" s="50">
        <v>34000</v>
      </c>
      <c r="L52" s="50">
        <v>34000</v>
      </c>
      <c r="M52" s="50">
        <v>34000</v>
      </c>
      <c r="N52" s="50">
        <v>34000</v>
      </c>
      <c r="O52" s="50">
        <v>34000</v>
      </c>
      <c r="P52" s="50">
        <v>36000</v>
      </c>
      <c r="Q52" s="50">
        <v>36000</v>
      </c>
      <c r="R52" s="50">
        <v>36000</v>
      </c>
      <c r="S52" s="50">
        <v>36000</v>
      </c>
      <c r="T52" s="50">
        <v>36000</v>
      </c>
      <c r="U52" s="50">
        <v>36000</v>
      </c>
      <c r="V52" s="50">
        <v>36000</v>
      </c>
      <c r="W52" s="50">
        <v>36000</v>
      </c>
      <c r="X52" s="50">
        <v>36000</v>
      </c>
      <c r="Y52" s="50">
        <v>36000</v>
      </c>
      <c r="Z52" s="50">
        <v>36000</v>
      </c>
      <c r="AA52" s="50">
        <v>36000</v>
      </c>
    </row>
    <row r="53" spans="2:27" x14ac:dyDescent="0.25">
      <c r="B53" s="24" t="s">
        <v>35</v>
      </c>
      <c r="C53" s="49" t="s">
        <v>46</v>
      </c>
      <c r="D53" s="53">
        <v>3000</v>
      </c>
      <c r="E53" s="53">
        <v>3000</v>
      </c>
      <c r="F53" s="53">
        <v>3000</v>
      </c>
      <c r="G53" s="53">
        <v>3000</v>
      </c>
      <c r="H53" s="53">
        <v>3000</v>
      </c>
      <c r="I53" s="53">
        <v>3000</v>
      </c>
      <c r="J53" s="53">
        <v>3000</v>
      </c>
      <c r="K53" s="53">
        <v>3000</v>
      </c>
      <c r="L53" s="53">
        <v>3000</v>
      </c>
      <c r="M53" s="53">
        <v>3000</v>
      </c>
      <c r="N53" s="53">
        <v>3000</v>
      </c>
      <c r="O53" s="53">
        <v>3000</v>
      </c>
      <c r="P53" s="53">
        <v>3000</v>
      </c>
      <c r="Q53" s="53">
        <v>3000</v>
      </c>
      <c r="R53" s="53">
        <v>3000</v>
      </c>
      <c r="S53" s="53">
        <v>3000</v>
      </c>
      <c r="T53" s="53">
        <v>3000</v>
      </c>
      <c r="U53" s="53">
        <v>3000</v>
      </c>
      <c r="V53" s="53">
        <v>3000</v>
      </c>
      <c r="W53" s="53">
        <v>3000</v>
      </c>
      <c r="X53" s="53">
        <v>3000</v>
      </c>
      <c r="Y53" s="53">
        <v>3000</v>
      </c>
      <c r="Z53" s="53">
        <v>3000</v>
      </c>
      <c r="AA53" s="53">
        <v>3000</v>
      </c>
    </row>
    <row r="55" spans="2:27" x14ac:dyDescent="0.25">
      <c r="B55" s="28" t="s">
        <v>36</v>
      </c>
      <c r="C55" s="81" t="s">
        <v>45</v>
      </c>
      <c r="D55" s="79">
        <v>0.25</v>
      </c>
      <c r="E55" s="79">
        <v>0.25</v>
      </c>
      <c r="F55" s="79">
        <v>0.25</v>
      </c>
      <c r="G55" s="79">
        <v>0.25</v>
      </c>
      <c r="H55" s="79">
        <v>0.25</v>
      </c>
      <c r="I55" s="79">
        <v>0.25</v>
      </c>
      <c r="J55" s="79">
        <v>0.25</v>
      </c>
      <c r="K55" s="79">
        <v>0.25</v>
      </c>
      <c r="L55" s="79">
        <v>0.25</v>
      </c>
      <c r="M55" s="79">
        <v>0.25</v>
      </c>
      <c r="N55" s="79">
        <v>0.25</v>
      </c>
      <c r="O55" s="79">
        <v>0.25</v>
      </c>
      <c r="P55" s="79">
        <v>0.25</v>
      </c>
      <c r="Q55" s="79">
        <v>0.25</v>
      </c>
      <c r="R55" s="79">
        <v>0.25</v>
      </c>
      <c r="S55" s="79">
        <v>0.25</v>
      </c>
      <c r="T55" s="79">
        <v>0.25</v>
      </c>
      <c r="U55" s="79">
        <v>0.25</v>
      </c>
      <c r="V55" s="79">
        <v>0.25</v>
      </c>
      <c r="W55" s="79">
        <v>0.25</v>
      </c>
      <c r="X55" s="79">
        <v>0.25</v>
      </c>
      <c r="Y55" s="79">
        <v>0.25</v>
      </c>
      <c r="Z55" s="79">
        <v>0.25</v>
      </c>
      <c r="AA55" s="79">
        <v>0.25</v>
      </c>
    </row>
    <row r="57" spans="2:27" x14ac:dyDescent="0.25">
      <c r="B57" s="89"/>
      <c r="C57" s="97" t="s">
        <v>83</v>
      </c>
      <c r="D57" s="97"/>
      <c r="E57" s="97"/>
      <c r="F57" s="97"/>
      <c r="G57" s="97"/>
      <c r="H57" s="97"/>
      <c r="I57" s="97"/>
      <c r="J57" s="97"/>
      <c r="K57" s="97"/>
      <c r="L57" s="97"/>
      <c r="M57" s="97"/>
      <c r="N57" s="97"/>
      <c r="O57" s="97"/>
      <c r="P57" s="97" t="s">
        <v>84</v>
      </c>
      <c r="Q57" s="97"/>
      <c r="R57" s="97"/>
      <c r="S57" s="97"/>
      <c r="T57" s="97"/>
      <c r="U57" s="97"/>
      <c r="V57" s="97"/>
      <c r="W57" s="97"/>
      <c r="X57" s="97"/>
      <c r="Y57" s="97"/>
      <c r="Z57" s="97"/>
      <c r="AA57" s="97"/>
    </row>
    <row r="59" spans="2:27" x14ac:dyDescent="0.25">
      <c r="B59" s="104" t="s">
        <v>110</v>
      </c>
    </row>
    <row r="60" spans="2:27" x14ac:dyDescent="0.25">
      <c r="B60" s="105"/>
    </row>
    <row r="61" spans="2:27" x14ac:dyDescent="0.25">
      <c r="B61" s="105"/>
    </row>
    <row r="62" spans="2:27" x14ac:dyDescent="0.25">
      <c r="B62" s="105"/>
    </row>
    <row r="63" spans="2:27" x14ac:dyDescent="0.25">
      <c r="B63" s="105"/>
    </row>
    <row r="64" spans="2:27" x14ac:dyDescent="0.25">
      <c r="B64" s="105"/>
    </row>
    <row r="65" spans="2:27" x14ac:dyDescent="0.25">
      <c r="B65" s="105"/>
    </row>
    <row r="66" spans="2:27" x14ac:dyDescent="0.25">
      <c r="B66" s="105"/>
    </row>
    <row r="67" spans="2:27" x14ac:dyDescent="0.25">
      <c r="B67" s="105"/>
    </row>
    <row r="68" spans="2:27" x14ac:dyDescent="0.25">
      <c r="B68" s="105"/>
    </row>
    <row r="69" spans="2:27" x14ac:dyDescent="0.25">
      <c r="B69" s="105"/>
    </row>
    <row r="70" spans="2:27" x14ac:dyDescent="0.25">
      <c r="B70" s="105"/>
    </row>
    <row r="71" spans="2:27" x14ac:dyDescent="0.25">
      <c r="B71" s="105"/>
    </row>
    <row r="72" spans="2:27" x14ac:dyDescent="0.25">
      <c r="B72" s="105"/>
    </row>
    <row r="73" spans="2:27" x14ac:dyDescent="0.25">
      <c r="B73" s="105"/>
    </row>
    <row r="74" spans="2:27" x14ac:dyDescent="0.25">
      <c r="B74" s="105"/>
    </row>
    <row r="76" spans="2:27" x14ac:dyDescent="0.25">
      <c r="B76" s="89"/>
      <c r="C76" s="97" t="s">
        <v>87</v>
      </c>
      <c r="D76" s="97"/>
      <c r="E76" s="97"/>
      <c r="F76" s="97"/>
      <c r="G76" s="97"/>
      <c r="H76" s="97"/>
      <c r="I76" s="97"/>
      <c r="J76" s="97"/>
      <c r="K76" s="97"/>
      <c r="L76" s="97"/>
      <c r="M76" s="97"/>
      <c r="N76" s="97"/>
      <c r="O76" s="97"/>
      <c r="P76" s="97" t="s">
        <v>88</v>
      </c>
      <c r="Q76" s="97"/>
      <c r="R76" s="97"/>
      <c r="S76" s="97"/>
      <c r="T76" s="97"/>
      <c r="U76" s="97"/>
      <c r="V76" s="97"/>
      <c r="W76" s="97"/>
      <c r="X76" s="97"/>
      <c r="Y76" s="97"/>
      <c r="Z76" s="97"/>
      <c r="AA76" s="97"/>
    </row>
    <row r="78" spans="2:27" x14ac:dyDescent="0.25">
      <c r="B78" s="104" t="s">
        <v>111</v>
      </c>
    </row>
    <row r="79" spans="2:27" x14ac:dyDescent="0.25">
      <c r="B79" s="105"/>
    </row>
    <row r="80" spans="2:27" x14ac:dyDescent="0.25">
      <c r="B80" s="105"/>
    </row>
    <row r="81" spans="2:27" x14ac:dyDescent="0.25">
      <c r="B81" s="105"/>
    </row>
    <row r="82" spans="2:27" x14ac:dyDescent="0.25">
      <c r="B82" s="105"/>
    </row>
    <row r="83" spans="2:27" x14ac:dyDescent="0.25">
      <c r="B83" s="105"/>
    </row>
    <row r="84" spans="2:27" x14ac:dyDescent="0.25">
      <c r="B84" s="105"/>
    </row>
    <row r="85" spans="2:27" x14ac:dyDescent="0.25">
      <c r="B85" s="105"/>
    </row>
    <row r="86" spans="2:27" x14ac:dyDescent="0.25">
      <c r="B86" s="105"/>
    </row>
    <row r="87" spans="2:27" x14ac:dyDescent="0.25">
      <c r="B87" s="105"/>
    </row>
    <row r="88" spans="2:27" x14ac:dyDescent="0.25">
      <c r="B88" s="105"/>
    </row>
    <row r="89" spans="2:27" x14ac:dyDescent="0.25">
      <c r="B89" s="105"/>
    </row>
    <row r="90" spans="2:27" x14ac:dyDescent="0.25">
      <c r="B90" s="105"/>
    </row>
    <row r="91" spans="2:27" x14ac:dyDescent="0.25">
      <c r="B91" s="105"/>
    </row>
    <row r="92" spans="2:27" x14ac:dyDescent="0.25">
      <c r="B92" s="105"/>
    </row>
    <row r="93" spans="2:27" x14ac:dyDescent="0.25">
      <c r="B93" s="105"/>
    </row>
    <row r="95" spans="2:27" x14ac:dyDescent="0.25">
      <c r="B95" s="89"/>
      <c r="C95" s="97" t="s">
        <v>85</v>
      </c>
      <c r="D95" s="97"/>
      <c r="E95" s="97"/>
      <c r="F95" s="97"/>
      <c r="G95" s="97"/>
      <c r="H95" s="97"/>
      <c r="I95" s="97"/>
      <c r="J95" s="97"/>
      <c r="K95" s="97"/>
      <c r="L95" s="97"/>
      <c r="M95" s="97"/>
      <c r="N95" s="97"/>
      <c r="O95" s="97"/>
      <c r="P95" s="97" t="s">
        <v>86</v>
      </c>
      <c r="Q95" s="97"/>
      <c r="R95" s="97"/>
      <c r="S95" s="97"/>
      <c r="T95" s="97"/>
      <c r="U95" s="97"/>
      <c r="V95" s="97"/>
      <c r="W95" s="97"/>
      <c r="X95" s="97"/>
      <c r="Y95" s="97"/>
      <c r="Z95" s="97"/>
      <c r="AA95" s="97"/>
    </row>
    <row r="97" spans="2:2" ht="13.8" customHeight="1" x14ac:dyDescent="0.25">
      <c r="B97" s="104" t="s">
        <v>112</v>
      </c>
    </row>
    <row r="98" spans="2:2" x14ac:dyDescent="0.25">
      <c r="B98" s="104"/>
    </row>
    <row r="99" spans="2:2" x14ac:dyDescent="0.25">
      <c r="B99" s="104"/>
    </row>
    <row r="100" spans="2:2" x14ac:dyDescent="0.25">
      <c r="B100" s="104"/>
    </row>
    <row r="101" spans="2:2" x14ac:dyDescent="0.25">
      <c r="B101" s="104"/>
    </row>
    <row r="102" spans="2:2" x14ac:dyDescent="0.25">
      <c r="B102" s="104"/>
    </row>
    <row r="103" spans="2:2" x14ac:dyDescent="0.25">
      <c r="B103" s="104"/>
    </row>
    <row r="104" spans="2:2" x14ac:dyDescent="0.25">
      <c r="B104" s="104"/>
    </row>
    <row r="105" spans="2:2" x14ac:dyDescent="0.25">
      <c r="B105" s="104"/>
    </row>
    <row r="106" spans="2:2" x14ac:dyDescent="0.25">
      <c r="B106" s="104"/>
    </row>
    <row r="107" spans="2:2" x14ac:dyDescent="0.25">
      <c r="B107" s="104"/>
    </row>
    <row r="108" spans="2:2" x14ac:dyDescent="0.25">
      <c r="B108" s="104"/>
    </row>
    <row r="109" spans="2:2" x14ac:dyDescent="0.25">
      <c r="B109" s="104"/>
    </row>
    <row r="110" spans="2:2" x14ac:dyDescent="0.25">
      <c r="B110" s="104"/>
    </row>
    <row r="111" spans="2:2" x14ac:dyDescent="0.25">
      <c r="B111" s="104"/>
    </row>
    <row r="112" spans="2:2" x14ac:dyDescent="0.25">
      <c r="B112" s="104"/>
    </row>
    <row r="113" spans="2:27" x14ac:dyDescent="0.25">
      <c r="B113" s="94"/>
    </row>
    <row r="114" spans="2:27" x14ac:dyDescent="0.25">
      <c r="B114" s="105" t="s">
        <v>109</v>
      </c>
    </row>
    <row r="115" spans="2:27" x14ac:dyDescent="0.25">
      <c r="B115" s="105"/>
    </row>
    <row r="116" spans="2:27" x14ac:dyDescent="0.25">
      <c r="B116" s="105"/>
    </row>
    <row r="118" spans="2:27" x14ac:dyDescent="0.25">
      <c r="B118" s="103" t="s">
        <v>102</v>
      </c>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row>
  </sheetData>
  <mergeCells count="16">
    <mergeCell ref="B118:AA118"/>
    <mergeCell ref="B59:B74"/>
    <mergeCell ref="B78:B93"/>
    <mergeCell ref="B97:B112"/>
    <mergeCell ref="B114:B116"/>
    <mergeCell ref="B1:C4"/>
    <mergeCell ref="D1:AA3"/>
    <mergeCell ref="D6:AA6"/>
    <mergeCell ref="D40:AA40"/>
    <mergeCell ref="D23:AA23"/>
    <mergeCell ref="C57:O57"/>
    <mergeCell ref="P57:AA57"/>
    <mergeCell ref="C76:O76"/>
    <mergeCell ref="P76:AA76"/>
    <mergeCell ref="C95:O95"/>
    <mergeCell ref="P95:AA95"/>
  </mergeCells>
  <printOptions horizontalCentered="1"/>
  <pageMargins left="0" right="0" top="0" bottom="0" header="0" footer="0"/>
  <pageSetup paperSize="9" scale="36"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AA118"/>
  <sheetViews>
    <sheetView tabSelected="1" zoomScale="70" zoomScaleNormal="70" workbookViewId="0">
      <pane xSplit="2" ySplit="6" topLeftCell="E7" activePane="bottomRight" state="frozen"/>
      <selection pane="topRight" activeCell="C1" sqref="C1"/>
      <selection pane="bottomLeft" activeCell="A7" sqref="A7"/>
      <selection pane="bottomRight" activeCell="B42" sqref="B42:B58"/>
    </sheetView>
  </sheetViews>
  <sheetFormatPr defaultColWidth="10.77734375" defaultRowHeight="13.8" x14ac:dyDescent="0.25"/>
  <cols>
    <col min="1" max="1" width="2" style="2" customWidth="1"/>
    <col min="2" max="2" width="35.77734375" style="2" customWidth="1"/>
    <col min="3" max="3" width="8.88671875" style="2" customWidth="1"/>
    <col min="4" max="16384" width="10.77734375" style="2"/>
  </cols>
  <sheetData>
    <row r="1" spans="2:27" ht="13.8" customHeight="1" x14ac:dyDescent="0.25">
      <c r="B1" s="98" t="s">
        <v>41</v>
      </c>
      <c r="C1" s="98"/>
      <c r="D1" s="99" t="s">
        <v>47</v>
      </c>
      <c r="E1" s="99"/>
      <c r="F1" s="99"/>
      <c r="G1" s="99"/>
      <c r="H1" s="99"/>
      <c r="I1" s="99"/>
      <c r="J1" s="99"/>
      <c r="K1" s="99"/>
      <c r="L1" s="99"/>
      <c r="M1" s="99"/>
      <c r="N1" s="99"/>
      <c r="O1" s="99"/>
      <c r="P1" s="99"/>
      <c r="Q1" s="99"/>
      <c r="R1" s="99"/>
      <c r="S1" s="99"/>
      <c r="T1" s="99"/>
      <c r="U1" s="99"/>
      <c r="V1" s="99"/>
      <c r="W1" s="99"/>
      <c r="X1" s="99"/>
      <c r="Y1" s="99"/>
      <c r="Z1" s="99"/>
      <c r="AA1" s="99"/>
    </row>
    <row r="2" spans="2:27" ht="13.8" customHeight="1" x14ac:dyDescent="0.25">
      <c r="B2" s="98"/>
      <c r="C2" s="98"/>
      <c r="D2" s="99"/>
      <c r="E2" s="99"/>
      <c r="F2" s="99"/>
      <c r="G2" s="99"/>
      <c r="H2" s="99"/>
      <c r="I2" s="99"/>
      <c r="J2" s="99"/>
      <c r="K2" s="99"/>
      <c r="L2" s="99"/>
      <c r="M2" s="99"/>
      <c r="N2" s="99"/>
      <c r="O2" s="99"/>
      <c r="P2" s="99"/>
      <c r="Q2" s="99"/>
      <c r="R2" s="99"/>
      <c r="S2" s="99"/>
      <c r="T2" s="99"/>
      <c r="U2" s="99"/>
      <c r="V2" s="99"/>
      <c r="W2" s="99"/>
      <c r="X2" s="99"/>
      <c r="Y2" s="99"/>
      <c r="Z2" s="99"/>
      <c r="AA2" s="99"/>
    </row>
    <row r="3" spans="2:27" ht="13.8" customHeight="1" x14ac:dyDescent="0.25">
      <c r="B3" s="98"/>
      <c r="C3" s="98"/>
      <c r="D3" s="99"/>
      <c r="E3" s="99"/>
      <c r="F3" s="99"/>
      <c r="G3" s="99"/>
      <c r="H3" s="99"/>
      <c r="I3" s="99"/>
      <c r="J3" s="99"/>
      <c r="K3" s="99"/>
      <c r="L3" s="99"/>
      <c r="M3" s="99"/>
      <c r="N3" s="99"/>
      <c r="O3" s="99"/>
      <c r="P3" s="99"/>
      <c r="Q3" s="99"/>
      <c r="R3" s="99"/>
      <c r="S3" s="99"/>
      <c r="T3" s="99"/>
      <c r="U3" s="99"/>
      <c r="V3" s="99"/>
      <c r="W3" s="99"/>
      <c r="X3" s="99"/>
      <c r="Y3" s="99"/>
      <c r="Z3" s="99"/>
      <c r="AA3" s="99"/>
    </row>
    <row r="4" spans="2:27" ht="13.8" customHeight="1" x14ac:dyDescent="0.25">
      <c r="B4" s="98"/>
      <c r="C4" s="98"/>
      <c r="D4" s="4">
        <f>'REVENUE ASSUMPTIONS'!D$4</f>
        <v>46048</v>
      </c>
      <c r="E4" s="4">
        <f>'REVENUE ASSUMPTIONS'!E$4</f>
        <v>46079</v>
      </c>
      <c r="F4" s="4">
        <f>'REVENUE ASSUMPTIONS'!F$4</f>
        <v>46107</v>
      </c>
      <c r="G4" s="4">
        <f>'REVENUE ASSUMPTIONS'!G$4</f>
        <v>46138</v>
      </c>
      <c r="H4" s="4">
        <f>'REVENUE ASSUMPTIONS'!H$4</f>
        <v>46168</v>
      </c>
      <c r="I4" s="4">
        <f>'REVENUE ASSUMPTIONS'!I$4</f>
        <v>46199</v>
      </c>
      <c r="J4" s="4">
        <f>'REVENUE ASSUMPTIONS'!J$4</f>
        <v>46229</v>
      </c>
      <c r="K4" s="4">
        <f>'REVENUE ASSUMPTIONS'!K$4</f>
        <v>46260</v>
      </c>
      <c r="L4" s="4">
        <f>'REVENUE ASSUMPTIONS'!L$4</f>
        <v>46291</v>
      </c>
      <c r="M4" s="4">
        <f>'REVENUE ASSUMPTIONS'!M$4</f>
        <v>46321</v>
      </c>
      <c r="N4" s="4">
        <f>'REVENUE ASSUMPTIONS'!N$4</f>
        <v>46352</v>
      </c>
      <c r="O4" s="4">
        <f>'REVENUE ASSUMPTIONS'!O$4</f>
        <v>46382</v>
      </c>
      <c r="P4" s="4">
        <f>'REVENUE ASSUMPTIONS'!P$4</f>
        <v>46413</v>
      </c>
      <c r="Q4" s="4">
        <f>'REVENUE ASSUMPTIONS'!Q$4</f>
        <v>46444</v>
      </c>
      <c r="R4" s="4">
        <f>'REVENUE ASSUMPTIONS'!R$4</f>
        <v>46472</v>
      </c>
      <c r="S4" s="4">
        <f>'REVENUE ASSUMPTIONS'!S$4</f>
        <v>46503</v>
      </c>
      <c r="T4" s="4">
        <f>'REVENUE ASSUMPTIONS'!T$4</f>
        <v>46533</v>
      </c>
      <c r="U4" s="4">
        <f>'REVENUE ASSUMPTIONS'!U$4</f>
        <v>46564</v>
      </c>
      <c r="V4" s="4">
        <f>'REVENUE ASSUMPTIONS'!V$4</f>
        <v>46594</v>
      </c>
      <c r="W4" s="4">
        <f>'REVENUE ASSUMPTIONS'!W$4</f>
        <v>46625</v>
      </c>
      <c r="X4" s="4">
        <f>'REVENUE ASSUMPTIONS'!X$4</f>
        <v>46656</v>
      </c>
      <c r="Y4" s="4">
        <f>'REVENUE ASSUMPTIONS'!Y$4</f>
        <v>46686</v>
      </c>
      <c r="Z4" s="4">
        <f>'REVENUE ASSUMPTIONS'!Z$4</f>
        <v>46717</v>
      </c>
      <c r="AA4" s="4">
        <f>'REVENUE ASSUMPTIONS'!AA$4</f>
        <v>46747</v>
      </c>
    </row>
    <row r="5" spans="2:27" x14ac:dyDescent="0.25">
      <c r="B5" s="5" t="s">
        <v>0</v>
      </c>
      <c r="C5" s="19" t="s">
        <v>40</v>
      </c>
      <c r="D5" s="6" t="str">
        <f>'REVENUE ASSUMPTIONS'!D$5</f>
        <v>Month 1</v>
      </c>
      <c r="E5" s="6" t="str">
        <f>'REVENUE ASSUMPTIONS'!E$5</f>
        <v>Month 2</v>
      </c>
      <c r="F5" s="6" t="str">
        <f>'REVENUE ASSUMPTIONS'!F$5</f>
        <v>Month 3</v>
      </c>
      <c r="G5" s="6" t="str">
        <f>'REVENUE ASSUMPTIONS'!G$5</f>
        <v>Month 4</v>
      </c>
      <c r="H5" s="6" t="str">
        <f>'REVENUE ASSUMPTIONS'!H$5</f>
        <v>Month 5</v>
      </c>
      <c r="I5" s="6" t="str">
        <f>'REVENUE ASSUMPTIONS'!I$5</f>
        <v>Month 6</v>
      </c>
      <c r="J5" s="6" t="str">
        <f>'REVENUE ASSUMPTIONS'!J$5</f>
        <v>Month 7</v>
      </c>
      <c r="K5" s="6" t="str">
        <f>'REVENUE ASSUMPTIONS'!K$5</f>
        <v>Month 8</v>
      </c>
      <c r="L5" s="6" t="str">
        <f>'REVENUE ASSUMPTIONS'!L$5</f>
        <v>Month 9</v>
      </c>
      <c r="M5" s="6" t="str">
        <f>'REVENUE ASSUMPTIONS'!M$5</f>
        <v>Month 10</v>
      </c>
      <c r="N5" s="6" t="str">
        <f>'REVENUE ASSUMPTIONS'!N$5</f>
        <v>Month 11</v>
      </c>
      <c r="O5" s="6" t="str">
        <f>'REVENUE ASSUMPTIONS'!O$5</f>
        <v>Month 12</v>
      </c>
      <c r="P5" s="6" t="str">
        <f>'REVENUE ASSUMPTIONS'!P$5</f>
        <v>Month 13</v>
      </c>
      <c r="Q5" s="6" t="str">
        <f>'REVENUE ASSUMPTIONS'!Q$5</f>
        <v>Month 14</v>
      </c>
      <c r="R5" s="6" t="str">
        <f>'REVENUE ASSUMPTIONS'!R$5</f>
        <v>Month 15</v>
      </c>
      <c r="S5" s="6" t="str">
        <f>'REVENUE ASSUMPTIONS'!S$5</f>
        <v>Month 16</v>
      </c>
      <c r="T5" s="6" t="str">
        <f>'REVENUE ASSUMPTIONS'!T$5</f>
        <v>Month 17</v>
      </c>
      <c r="U5" s="6" t="str">
        <f>'REVENUE ASSUMPTIONS'!U$5</f>
        <v>Month 18</v>
      </c>
      <c r="V5" s="6" t="str">
        <f>'REVENUE ASSUMPTIONS'!V$5</f>
        <v>Month 19</v>
      </c>
      <c r="W5" s="6" t="str">
        <f>'REVENUE ASSUMPTIONS'!W$5</f>
        <v>Month 20</v>
      </c>
      <c r="X5" s="6" t="str">
        <f>'REVENUE ASSUMPTIONS'!X$5</f>
        <v>Month 21</v>
      </c>
      <c r="Y5" s="6" t="str">
        <f>'REVENUE ASSUMPTIONS'!Y$5</f>
        <v>Month 22</v>
      </c>
      <c r="Z5" s="6" t="str">
        <f>'REVENUE ASSUMPTIONS'!Z$5</f>
        <v>Month 23</v>
      </c>
      <c r="AA5" s="6" t="str">
        <f>'REVENUE ASSUMPTIONS'!AA$5</f>
        <v>Month 24</v>
      </c>
    </row>
    <row r="6" spans="2:27" x14ac:dyDescent="0.25">
      <c r="B6" s="7" t="s">
        <v>47</v>
      </c>
      <c r="C6" s="3"/>
      <c r="D6" s="100" t="s">
        <v>58</v>
      </c>
      <c r="E6" s="100"/>
      <c r="F6" s="100"/>
      <c r="G6" s="100"/>
      <c r="H6" s="100"/>
      <c r="I6" s="100"/>
      <c r="J6" s="100"/>
      <c r="K6" s="100"/>
      <c r="L6" s="100"/>
      <c r="M6" s="100"/>
      <c r="N6" s="100"/>
      <c r="O6" s="100"/>
      <c r="P6" s="109">
        <v>2</v>
      </c>
      <c r="Q6" s="109"/>
      <c r="R6" s="109"/>
      <c r="S6" s="109"/>
      <c r="T6" s="109"/>
      <c r="U6" s="109"/>
      <c r="V6" s="109"/>
      <c r="W6" s="109"/>
      <c r="X6" s="109"/>
      <c r="Y6" s="109"/>
      <c r="Z6" s="109"/>
      <c r="AA6" s="109"/>
    </row>
    <row r="7" spans="2:27" ht="7.05" customHeight="1" x14ac:dyDescent="0.25"/>
    <row r="8" spans="2:27" x14ac:dyDescent="0.25">
      <c r="B8" s="8" t="s">
        <v>48</v>
      </c>
      <c r="C8" s="56" t="s">
        <v>46</v>
      </c>
      <c r="D8" s="11">
        <f>CHOOSE($P$6,'REVENUE ASSUMPTIONS'!D$28*'REVENUE ASSUMPTIONS'!D$22,'REVENUE ASSUMPTIONS'!D$52*'REVENUE ASSUMPTIONS'!D$46,'REVENUE ASSUMPTIONS'!D$76*'REVENUE ASSUMPTIONS'!D$70)</f>
        <v>45000</v>
      </c>
      <c r="E8" s="11">
        <f>CHOOSE($P$6,'REVENUE ASSUMPTIONS'!E$28*'REVENUE ASSUMPTIONS'!E$22,'REVENUE ASSUMPTIONS'!E$52*'REVENUE ASSUMPTIONS'!E$46,'REVENUE ASSUMPTIONS'!E$76*'REVENUE ASSUMPTIONS'!E$70)</f>
        <v>48560</v>
      </c>
      <c r="F8" s="11">
        <f>CHOOSE($P$6,'REVENUE ASSUMPTIONS'!F$28*'REVENUE ASSUMPTIONS'!F$22,'REVENUE ASSUMPTIONS'!F$52*'REVENUE ASSUMPTIONS'!F$46,'REVENUE ASSUMPTIONS'!F$76*'REVENUE ASSUMPTIONS'!F$70)</f>
        <v>49620</v>
      </c>
      <c r="G8" s="11">
        <f>CHOOSE($P$6,'REVENUE ASSUMPTIONS'!G$28*'REVENUE ASSUMPTIONS'!G$22,'REVENUE ASSUMPTIONS'!G$52*'REVENUE ASSUMPTIONS'!G$46,'REVENUE ASSUMPTIONS'!G$76*'REVENUE ASSUMPTIONS'!G$70)</f>
        <v>50680.000000000007</v>
      </c>
      <c r="H8" s="11">
        <f>CHOOSE($P$6,'REVENUE ASSUMPTIONS'!H$28*'REVENUE ASSUMPTIONS'!H$22,'REVENUE ASSUMPTIONS'!H$52*'REVENUE ASSUMPTIONS'!H$46,'REVENUE ASSUMPTIONS'!H$76*'REVENUE ASSUMPTIONS'!H$70)</f>
        <v>54479.999999999993</v>
      </c>
      <c r="I8" s="11">
        <f>CHOOSE($P$6,'REVENUE ASSUMPTIONS'!I$28*'REVENUE ASSUMPTIONS'!I$22,'REVENUE ASSUMPTIONS'!I$52*'REVENUE ASSUMPTIONS'!I$46,'REVENUE ASSUMPTIONS'!I$76*'REVENUE ASSUMPTIONS'!I$70)</f>
        <v>55600</v>
      </c>
      <c r="J8" s="11">
        <f>CHOOSE($P$6,'REVENUE ASSUMPTIONS'!J$28*'REVENUE ASSUMPTIONS'!J$22,'REVENUE ASSUMPTIONS'!J$52*'REVENUE ASSUMPTIONS'!J$46,'REVENUE ASSUMPTIONS'!J$76*'REVENUE ASSUMPTIONS'!J$70)</f>
        <v>56719.999999999993</v>
      </c>
      <c r="K8" s="11">
        <f>CHOOSE($P$6,'REVENUE ASSUMPTIONS'!K$28*'REVENUE ASSUMPTIONS'!K$22,'REVENUE ASSUMPTIONS'!K$52*'REVENUE ASSUMPTIONS'!K$46,'REVENUE ASSUMPTIONS'!K$76*'REVENUE ASSUMPTIONS'!K$70)</f>
        <v>60760</v>
      </c>
      <c r="L8" s="11">
        <f>CHOOSE($P$6,'REVENUE ASSUMPTIONS'!L$28*'REVENUE ASSUMPTIONS'!L$22,'REVENUE ASSUMPTIONS'!L$52*'REVENUE ASSUMPTIONS'!L$46,'REVENUE ASSUMPTIONS'!L$76*'REVENUE ASSUMPTIONS'!L$70)</f>
        <v>61940</v>
      </c>
      <c r="M8" s="11">
        <f>CHOOSE($P$6,'REVENUE ASSUMPTIONS'!M$28*'REVENUE ASSUMPTIONS'!M$22,'REVENUE ASSUMPTIONS'!M$52*'REVENUE ASSUMPTIONS'!M$46,'REVENUE ASSUMPTIONS'!M$76*'REVENUE ASSUMPTIONS'!M$70)</f>
        <v>63119.999999999993</v>
      </c>
      <c r="N8" s="11">
        <f>CHOOSE($P$6,'REVENUE ASSUMPTIONS'!N$28*'REVENUE ASSUMPTIONS'!N$22,'REVENUE ASSUMPTIONS'!N$52*'REVENUE ASSUMPTIONS'!N$46,'REVENUE ASSUMPTIONS'!N$76*'REVENUE ASSUMPTIONS'!N$70)</f>
        <v>67400</v>
      </c>
      <c r="O8" s="11">
        <f>CHOOSE($P$6,'REVENUE ASSUMPTIONS'!O$28*'REVENUE ASSUMPTIONS'!O$22,'REVENUE ASSUMPTIONS'!O$52*'REVENUE ASSUMPTIONS'!O$46,'REVENUE ASSUMPTIONS'!O$76*'REVENUE ASSUMPTIONS'!O$70)</f>
        <v>68640</v>
      </c>
      <c r="P8" s="11">
        <f>CHOOSE($P$6,'REVENUE ASSUMPTIONS'!P$28*'REVENUE ASSUMPTIONS'!P$22,'REVENUE ASSUMPTIONS'!P$52*'REVENUE ASSUMPTIONS'!P$46,'REVENUE ASSUMPTIONS'!P$76*'REVENUE ASSUMPTIONS'!P$70)</f>
        <v>142555.20000000001</v>
      </c>
      <c r="Q8" s="11">
        <f>CHOOSE($P$6,'REVENUE ASSUMPTIONS'!Q$28*'REVENUE ASSUMPTIONS'!Q$22,'REVENUE ASSUMPTIONS'!Q$52*'REVENUE ASSUMPTIONS'!Q$46,'REVENUE ASSUMPTIONS'!Q$76*'REVENUE ASSUMPTIONS'!Q$70)</f>
        <v>151776</v>
      </c>
      <c r="R8" s="11">
        <f>CHOOSE($P$6,'REVENUE ASSUMPTIONS'!R$28*'REVENUE ASSUMPTIONS'!R$22,'REVENUE ASSUMPTIONS'!R$52*'REVENUE ASSUMPTIONS'!R$46,'REVENUE ASSUMPTIONS'!R$76*'REVENUE ASSUMPTIONS'!R$70)</f>
        <v>154428</v>
      </c>
      <c r="S8" s="11">
        <f>CHOOSE($P$6,'REVENUE ASSUMPTIONS'!S$28*'REVENUE ASSUMPTIONS'!S$22,'REVENUE ASSUMPTIONS'!S$52*'REVENUE ASSUMPTIONS'!S$46,'REVENUE ASSUMPTIONS'!S$76*'REVENUE ASSUMPTIONS'!S$70)</f>
        <v>157080</v>
      </c>
      <c r="T8" s="11">
        <f>CHOOSE($P$6,'REVENUE ASSUMPTIONS'!T$28*'REVENUE ASSUMPTIONS'!T$22,'REVENUE ASSUMPTIONS'!T$52*'REVENUE ASSUMPTIONS'!T$46,'REVENUE ASSUMPTIONS'!T$76*'REVENUE ASSUMPTIONS'!T$70)</f>
        <v>166790.39999999999</v>
      </c>
      <c r="U8" s="11">
        <f>CHOOSE($P$6,'REVENUE ASSUMPTIONS'!U$28*'REVENUE ASSUMPTIONS'!U$22,'REVENUE ASSUMPTIONS'!U$52*'REVENUE ASSUMPTIONS'!U$46,'REVENUE ASSUMPTIONS'!U$76*'REVENUE ASSUMPTIONS'!U$70)</f>
        <v>169564.79999999999</v>
      </c>
      <c r="V8" s="11">
        <f>CHOOSE($P$6,'REVENUE ASSUMPTIONS'!V$28*'REVENUE ASSUMPTIONS'!V$22,'REVENUE ASSUMPTIONS'!V$52*'REVENUE ASSUMPTIONS'!V$46,'REVENUE ASSUMPTIONS'!V$76*'REVENUE ASSUMPTIONS'!V$70)</f>
        <v>172339.19999999998</v>
      </c>
      <c r="W8" s="11">
        <f>CHOOSE($P$6,'REVENUE ASSUMPTIONS'!W$28*'REVENUE ASSUMPTIONS'!W$22,'REVENUE ASSUMPTIONS'!W$52*'REVENUE ASSUMPTIONS'!W$46,'REVENUE ASSUMPTIONS'!W$76*'REVENUE ASSUMPTIONS'!W$70)</f>
        <v>182539.2</v>
      </c>
      <c r="X8" s="11">
        <f>CHOOSE($P$6,'REVENUE ASSUMPTIONS'!X$28*'REVENUE ASSUMPTIONS'!X$22,'REVENUE ASSUMPTIONS'!X$52*'REVENUE ASSUMPTIONS'!X$46,'REVENUE ASSUMPTIONS'!X$76*'REVENUE ASSUMPTIONS'!X$70)</f>
        <v>185436</v>
      </c>
      <c r="Y8" s="11">
        <f>CHOOSE($P$6,'REVENUE ASSUMPTIONS'!Y$28*'REVENUE ASSUMPTIONS'!Y$22,'REVENUE ASSUMPTIONS'!Y$52*'REVENUE ASSUMPTIONS'!Y$46,'REVENUE ASSUMPTIONS'!Y$76*'REVENUE ASSUMPTIONS'!Y$70)</f>
        <v>188332.79999999999</v>
      </c>
      <c r="Z8" s="11">
        <f>CHOOSE($P$6,'REVENUE ASSUMPTIONS'!Z$28*'REVENUE ASSUMPTIONS'!Z$22,'REVENUE ASSUMPTIONS'!Z$52*'REVENUE ASSUMPTIONS'!Z$46,'REVENUE ASSUMPTIONS'!Z$76*'REVENUE ASSUMPTIONS'!Z$70)</f>
        <v>199022.4</v>
      </c>
      <c r="AA8" s="16">
        <f>CHOOSE($P$6,'REVENUE ASSUMPTIONS'!AA$28*'REVENUE ASSUMPTIONS'!AA$22,'REVENUE ASSUMPTIONS'!AA$52*'REVENUE ASSUMPTIONS'!AA$46,'REVENUE ASSUMPTIONS'!AA$76*'REVENUE ASSUMPTIONS'!AA$70)</f>
        <v>202041.60000000001</v>
      </c>
    </row>
    <row r="9" spans="2:27" x14ac:dyDescent="0.25">
      <c r="B9" s="8" t="s">
        <v>49</v>
      </c>
      <c r="C9" s="57" t="s">
        <v>46</v>
      </c>
      <c r="D9" s="11">
        <f>CHOOSE($P$6,'COST ASSUMPTIONS'!D$10*'REVENUE ASSUMPTIONS'!D$22,'REVENUE ASSUMPTIONS'!D$46*'COST ASSUMPTIONS'!D$27,'COST ASSUMPTIONS'!D$44*'REVENUE ASSUMPTIONS'!D$70)</f>
        <v>5400</v>
      </c>
      <c r="E9" s="11">
        <f>CHOOSE($P$6,'COST ASSUMPTIONS'!E$10*'REVENUE ASSUMPTIONS'!E$22,'REVENUE ASSUMPTIONS'!E$46*'COST ASSUMPTIONS'!E$27,'COST ASSUMPTIONS'!E$44*'REVENUE ASSUMPTIONS'!E$70)</f>
        <v>5827.2000000000007</v>
      </c>
      <c r="F9" s="11">
        <f>CHOOSE($P$6,'COST ASSUMPTIONS'!F$10*'REVENUE ASSUMPTIONS'!F$22,'REVENUE ASSUMPTIONS'!F$46*'COST ASSUMPTIONS'!F$27,'COST ASSUMPTIONS'!F$44*'REVENUE ASSUMPTIONS'!F$70)</f>
        <v>5954.4</v>
      </c>
      <c r="G9" s="11">
        <f>CHOOSE($P$6,'COST ASSUMPTIONS'!G$10*'REVENUE ASSUMPTIONS'!G$22,'REVENUE ASSUMPTIONS'!G$46*'COST ASSUMPTIONS'!G$27,'COST ASSUMPTIONS'!G$44*'REVENUE ASSUMPTIONS'!G$70)</f>
        <v>6081.6</v>
      </c>
      <c r="H9" s="11">
        <f>CHOOSE($P$6,'COST ASSUMPTIONS'!H$10*'REVENUE ASSUMPTIONS'!H$22,'REVENUE ASSUMPTIONS'!H$46*'COST ASSUMPTIONS'!H$27,'COST ASSUMPTIONS'!H$44*'REVENUE ASSUMPTIONS'!H$70)</f>
        <v>6537.5999999999995</v>
      </c>
      <c r="I9" s="11">
        <f>CHOOSE($P$6,'COST ASSUMPTIONS'!I$10*'REVENUE ASSUMPTIONS'!I$22,'REVENUE ASSUMPTIONS'!I$46*'COST ASSUMPTIONS'!I$27,'COST ASSUMPTIONS'!I$44*'REVENUE ASSUMPTIONS'!I$70)</f>
        <v>6672</v>
      </c>
      <c r="J9" s="11">
        <f>CHOOSE($P$6,'COST ASSUMPTIONS'!J$10*'REVENUE ASSUMPTIONS'!J$22,'REVENUE ASSUMPTIONS'!J$46*'COST ASSUMPTIONS'!J$27,'COST ASSUMPTIONS'!J$44*'REVENUE ASSUMPTIONS'!J$70)</f>
        <v>6806.4</v>
      </c>
      <c r="K9" s="11">
        <f>CHOOSE($P$6,'COST ASSUMPTIONS'!K$10*'REVENUE ASSUMPTIONS'!K$22,'REVENUE ASSUMPTIONS'!K$46*'COST ASSUMPTIONS'!K$27,'COST ASSUMPTIONS'!K$44*'REVENUE ASSUMPTIONS'!K$70)</f>
        <v>7291.2000000000007</v>
      </c>
      <c r="L9" s="11">
        <f>CHOOSE($P$6,'COST ASSUMPTIONS'!L$10*'REVENUE ASSUMPTIONS'!L$22,'REVENUE ASSUMPTIONS'!L$46*'COST ASSUMPTIONS'!L$27,'COST ASSUMPTIONS'!L$44*'REVENUE ASSUMPTIONS'!L$70)</f>
        <v>7432.7999999999993</v>
      </c>
      <c r="M9" s="11">
        <f>CHOOSE($P$6,'COST ASSUMPTIONS'!M$10*'REVENUE ASSUMPTIONS'!M$22,'REVENUE ASSUMPTIONS'!M$46*'COST ASSUMPTIONS'!M$27,'COST ASSUMPTIONS'!M$44*'REVENUE ASSUMPTIONS'!M$70)</f>
        <v>7574.4</v>
      </c>
      <c r="N9" s="11">
        <f>CHOOSE($P$6,'COST ASSUMPTIONS'!N$10*'REVENUE ASSUMPTIONS'!N$22,'REVENUE ASSUMPTIONS'!N$46*'COST ASSUMPTIONS'!N$27,'COST ASSUMPTIONS'!N$44*'REVENUE ASSUMPTIONS'!N$70)</f>
        <v>8088</v>
      </c>
      <c r="O9" s="11">
        <f>CHOOSE($P$6,'COST ASSUMPTIONS'!O$10*'REVENUE ASSUMPTIONS'!O$22,'REVENUE ASSUMPTIONS'!O$46*'COST ASSUMPTIONS'!O$27,'COST ASSUMPTIONS'!O$44*'REVENUE ASSUMPTIONS'!O$70)</f>
        <v>8236.7999999999993</v>
      </c>
      <c r="P9" s="11">
        <f>CHOOSE($P$6,'COST ASSUMPTIONS'!P$10*'REVENUE ASSUMPTIONS'!P$22,'REVENUE ASSUMPTIONS'!P$46*'COST ASSUMPTIONS'!P$27,'COST ASSUMPTIONS'!P$44*'REVENUE ASSUMPTIONS'!P$70)</f>
        <v>7686.8000000000011</v>
      </c>
      <c r="Q9" s="11">
        <f>CHOOSE($P$6,'COST ASSUMPTIONS'!Q$10*'REVENUE ASSUMPTIONS'!Q$22,'REVENUE ASSUMPTIONS'!Q$46*'COST ASSUMPTIONS'!Q$27,'COST ASSUMPTIONS'!Q$44*'REVENUE ASSUMPTIONS'!Q$70)</f>
        <v>8184</v>
      </c>
      <c r="R9" s="11">
        <f>CHOOSE($P$6,'COST ASSUMPTIONS'!R$10*'REVENUE ASSUMPTIONS'!R$22,'REVENUE ASSUMPTIONS'!R$46*'COST ASSUMPTIONS'!R$27,'COST ASSUMPTIONS'!R$44*'REVENUE ASSUMPTIONS'!R$70)</f>
        <v>8327</v>
      </c>
      <c r="S9" s="11">
        <f>CHOOSE($P$6,'COST ASSUMPTIONS'!S$10*'REVENUE ASSUMPTIONS'!S$22,'REVENUE ASSUMPTIONS'!S$46*'COST ASSUMPTIONS'!S$27,'COST ASSUMPTIONS'!S$44*'REVENUE ASSUMPTIONS'!S$70)</f>
        <v>8470</v>
      </c>
      <c r="T9" s="11">
        <f>CHOOSE($P$6,'COST ASSUMPTIONS'!T$10*'REVENUE ASSUMPTIONS'!T$22,'REVENUE ASSUMPTIONS'!T$46*'COST ASSUMPTIONS'!T$27,'COST ASSUMPTIONS'!T$44*'REVENUE ASSUMPTIONS'!T$70)</f>
        <v>8993.5999999999985</v>
      </c>
      <c r="U9" s="11">
        <f>CHOOSE($P$6,'COST ASSUMPTIONS'!U$10*'REVENUE ASSUMPTIONS'!U$22,'REVENUE ASSUMPTIONS'!U$46*'COST ASSUMPTIONS'!U$27,'COST ASSUMPTIONS'!U$44*'REVENUE ASSUMPTIONS'!U$70)</f>
        <v>9143.1999999999989</v>
      </c>
      <c r="V9" s="11">
        <f>CHOOSE($P$6,'COST ASSUMPTIONS'!V$10*'REVENUE ASSUMPTIONS'!V$22,'REVENUE ASSUMPTIONS'!V$46*'COST ASSUMPTIONS'!V$27,'COST ASSUMPTIONS'!V$44*'REVENUE ASSUMPTIONS'!V$70)</f>
        <v>9292.7999999999993</v>
      </c>
      <c r="W9" s="11">
        <f>CHOOSE($P$6,'COST ASSUMPTIONS'!W$10*'REVENUE ASSUMPTIONS'!W$22,'REVENUE ASSUMPTIONS'!W$46*'COST ASSUMPTIONS'!W$27,'COST ASSUMPTIONS'!W$44*'REVENUE ASSUMPTIONS'!W$70)</f>
        <v>9842.8000000000011</v>
      </c>
      <c r="X9" s="11">
        <f>CHOOSE($P$6,'COST ASSUMPTIONS'!X$10*'REVENUE ASSUMPTIONS'!X$22,'REVENUE ASSUMPTIONS'!X$46*'COST ASSUMPTIONS'!X$27,'COST ASSUMPTIONS'!X$44*'REVENUE ASSUMPTIONS'!X$70)</f>
        <v>9999</v>
      </c>
      <c r="Y9" s="11">
        <f>CHOOSE($P$6,'COST ASSUMPTIONS'!Y$10*'REVENUE ASSUMPTIONS'!Y$22,'REVENUE ASSUMPTIONS'!Y$46*'COST ASSUMPTIONS'!Y$27,'COST ASSUMPTIONS'!Y$44*'REVENUE ASSUMPTIONS'!Y$70)</f>
        <v>10155.199999999999</v>
      </c>
      <c r="Z9" s="11">
        <f>CHOOSE($P$6,'COST ASSUMPTIONS'!Z$10*'REVENUE ASSUMPTIONS'!Z$22,'REVENUE ASSUMPTIONS'!Z$46*'COST ASSUMPTIONS'!Z$27,'COST ASSUMPTIONS'!Z$44*'REVENUE ASSUMPTIONS'!Z$70)</f>
        <v>10731.599999999999</v>
      </c>
      <c r="AA9" s="16">
        <f>CHOOSE($P$6,'COST ASSUMPTIONS'!AA$10*'REVENUE ASSUMPTIONS'!AA$22,'REVENUE ASSUMPTIONS'!AA$46*'COST ASSUMPTIONS'!AA$27,'COST ASSUMPTIONS'!AA$44*'REVENUE ASSUMPTIONS'!AA$70)</f>
        <v>10894.4</v>
      </c>
    </row>
    <row r="10" spans="2:27" ht="7.05" customHeight="1" x14ac:dyDescent="0.25">
      <c r="B10" s="8"/>
      <c r="C10" s="8"/>
      <c r="D10" s="11"/>
      <c r="E10" s="11"/>
      <c r="F10" s="11"/>
      <c r="G10" s="11"/>
      <c r="H10" s="11"/>
      <c r="I10" s="11"/>
      <c r="J10" s="11"/>
      <c r="K10" s="11"/>
      <c r="L10" s="11"/>
      <c r="M10" s="11"/>
      <c r="N10" s="11"/>
    </row>
    <row r="11" spans="2:27" x14ac:dyDescent="0.25">
      <c r="B11" s="45" t="s">
        <v>56</v>
      </c>
      <c r="C11" s="59" t="s">
        <v>46</v>
      </c>
      <c r="D11" s="69">
        <f>D8-D9</f>
        <v>39600</v>
      </c>
      <c r="E11" s="69">
        <f t="shared" ref="E11:O11" si="0">E8-E9</f>
        <v>42732.800000000003</v>
      </c>
      <c r="F11" s="69">
        <f t="shared" si="0"/>
        <v>43665.599999999999</v>
      </c>
      <c r="G11" s="69">
        <f t="shared" si="0"/>
        <v>44598.400000000009</v>
      </c>
      <c r="H11" s="69">
        <f t="shared" si="0"/>
        <v>47942.399999999994</v>
      </c>
      <c r="I11" s="69">
        <f t="shared" si="0"/>
        <v>48928</v>
      </c>
      <c r="J11" s="69">
        <f t="shared" si="0"/>
        <v>49913.599999999991</v>
      </c>
      <c r="K11" s="69">
        <f t="shared" si="0"/>
        <v>53468.800000000003</v>
      </c>
      <c r="L11" s="69">
        <f t="shared" si="0"/>
        <v>54507.199999999997</v>
      </c>
      <c r="M11" s="69">
        <f t="shared" si="0"/>
        <v>55545.599999999991</v>
      </c>
      <c r="N11" s="69">
        <f t="shared" si="0"/>
        <v>59312</v>
      </c>
      <c r="O11" s="69">
        <f t="shared" si="0"/>
        <v>60403.199999999997</v>
      </c>
      <c r="P11" s="69">
        <f t="shared" ref="P11:AA11" si="1">P8-P9</f>
        <v>134868.40000000002</v>
      </c>
      <c r="Q11" s="69">
        <f t="shared" si="1"/>
        <v>143592</v>
      </c>
      <c r="R11" s="69">
        <f t="shared" si="1"/>
        <v>146101</v>
      </c>
      <c r="S11" s="69">
        <f t="shared" si="1"/>
        <v>148610</v>
      </c>
      <c r="T11" s="69">
        <f t="shared" si="1"/>
        <v>157796.79999999999</v>
      </c>
      <c r="U11" s="69">
        <f t="shared" si="1"/>
        <v>160421.59999999998</v>
      </c>
      <c r="V11" s="69">
        <f t="shared" si="1"/>
        <v>163046.39999999999</v>
      </c>
      <c r="W11" s="69">
        <f t="shared" si="1"/>
        <v>172696.40000000002</v>
      </c>
      <c r="X11" s="69">
        <f t="shared" si="1"/>
        <v>175437</v>
      </c>
      <c r="Y11" s="69">
        <f t="shared" si="1"/>
        <v>178177.59999999998</v>
      </c>
      <c r="Z11" s="69">
        <f t="shared" si="1"/>
        <v>188290.8</v>
      </c>
      <c r="AA11" s="70">
        <f t="shared" si="1"/>
        <v>191147.2</v>
      </c>
    </row>
    <row r="12" spans="2:27" x14ac:dyDescent="0.25">
      <c r="B12" s="58" t="s">
        <v>57</v>
      </c>
      <c r="C12" s="31" t="s">
        <v>45</v>
      </c>
      <c r="D12" s="34">
        <f>D11/D8</f>
        <v>0.88</v>
      </c>
      <c r="E12" s="34">
        <f t="shared" ref="E12:O12" si="2">E11/E8</f>
        <v>0.88000000000000012</v>
      </c>
      <c r="F12" s="34">
        <f t="shared" si="2"/>
        <v>0.88</v>
      </c>
      <c r="G12" s="34">
        <f t="shared" si="2"/>
        <v>0.88</v>
      </c>
      <c r="H12" s="34">
        <f t="shared" si="2"/>
        <v>0.88</v>
      </c>
      <c r="I12" s="34">
        <f t="shared" si="2"/>
        <v>0.88</v>
      </c>
      <c r="J12" s="34">
        <f t="shared" si="2"/>
        <v>0.88</v>
      </c>
      <c r="K12" s="34">
        <f t="shared" si="2"/>
        <v>0.88</v>
      </c>
      <c r="L12" s="34">
        <f t="shared" si="2"/>
        <v>0.88</v>
      </c>
      <c r="M12" s="34">
        <f t="shared" si="2"/>
        <v>0.88</v>
      </c>
      <c r="N12" s="34">
        <f t="shared" si="2"/>
        <v>0.88</v>
      </c>
      <c r="O12" s="35">
        <f t="shared" si="2"/>
        <v>0.88</v>
      </c>
      <c r="P12" s="35">
        <f t="shared" ref="P12:AA12" si="3">P11/P8</f>
        <v>0.9460784313725491</v>
      </c>
      <c r="Q12" s="35">
        <f t="shared" si="3"/>
        <v>0.94607843137254899</v>
      </c>
      <c r="R12" s="35">
        <f t="shared" si="3"/>
        <v>0.94607843137254899</v>
      </c>
      <c r="S12" s="35">
        <f t="shared" si="3"/>
        <v>0.94607843137254899</v>
      </c>
      <c r="T12" s="35">
        <f t="shared" si="3"/>
        <v>0.94607843137254899</v>
      </c>
      <c r="U12" s="35">
        <f t="shared" si="3"/>
        <v>0.94607843137254899</v>
      </c>
      <c r="V12" s="35">
        <f t="shared" si="3"/>
        <v>0.9460784313725491</v>
      </c>
      <c r="W12" s="35">
        <f t="shared" si="3"/>
        <v>0.9460784313725491</v>
      </c>
      <c r="X12" s="35">
        <f t="shared" si="3"/>
        <v>0.94607843137254899</v>
      </c>
      <c r="Y12" s="35">
        <f t="shared" si="3"/>
        <v>0.94607843137254899</v>
      </c>
      <c r="Z12" s="35">
        <f t="shared" si="3"/>
        <v>0.94607843137254899</v>
      </c>
      <c r="AA12" s="35">
        <f t="shared" si="3"/>
        <v>0.9460784313725491</v>
      </c>
    </row>
    <row r="13" spans="2:27" ht="7.05" customHeight="1" x14ac:dyDescent="0.25">
      <c r="B13" s="8"/>
      <c r="C13" s="8"/>
      <c r="D13" s="11"/>
      <c r="E13" s="11"/>
      <c r="F13" s="11"/>
      <c r="G13" s="11"/>
      <c r="H13" s="11"/>
      <c r="I13" s="11"/>
      <c r="J13" s="11"/>
      <c r="K13" s="11"/>
      <c r="L13" s="11"/>
      <c r="M13" s="11"/>
      <c r="N13" s="11"/>
    </row>
    <row r="14" spans="2:27" x14ac:dyDescent="0.25">
      <c r="B14" s="10" t="s">
        <v>50</v>
      </c>
      <c r="C14" s="8"/>
      <c r="D14" s="11"/>
      <c r="E14" s="11"/>
      <c r="F14" s="11"/>
      <c r="G14" s="11"/>
      <c r="H14" s="11"/>
      <c r="I14" s="11"/>
      <c r="J14" s="11"/>
      <c r="K14" s="11"/>
      <c r="L14" s="11"/>
      <c r="M14" s="11"/>
      <c r="N14" s="11"/>
    </row>
    <row r="15" spans="2:27" ht="7.05" customHeight="1" x14ac:dyDescent="0.25">
      <c r="B15" s="8"/>
      <c r="C15" s="8"/>
      <c r="D15" s="11"/>
      <c r="E15" s="11"/>
      <c r="F15" s="11"/>
      <c r="G15" s="11"/>
      <c r="H15" s="11"/>
      <c r="I15" s="11"/>
      <c r="J15" s="11"/>
      <c r="K15" s="11"/>
      <c r="L15" s="11"/>
      <c r="M15" s="11"/>
      <c r="N15" s="11"/>
    </row>
    <row r="16" spans="2:27" x14ac:dyDescent="0.25">
      <c r="B16" s="9" t="s">
        <v>51</v>
      </c>
      <c r="C16" s="56" t="s">
        <v>46</v>
      </c>
      <c r="D16" s="11">
        <f>CHOOSE($P$6,'COST ASSUMPTIONS'!D$12*'REVENUE ASSUMPTIONS'!D$10,'REVENUE ASSUMPTIONS'!D$34*'COST ASSUMPTIONS'!D$29,'COST ASSUMPTIONS'!D$46*'REVENUE ASSUMPTIONS'!D$58)</f>
        <v>20000</v>
      </c>
      <c r="E16" s="11">
        <f>CHOOSE($P$6,'COST ASSUMPTIONS'!E$12*'REVENUE ASSUMPTIONS'!E$10,'REVENUE ASSUMPTIONS'!E$34*'COST ASSUMPTIONS'!E$29,'COST ASSUMPTIONS'!E$46*'REVENUE ASSUMPTIONS'!E$58)</f>
        <v>20800</v>
      </c>
      <c r="F16" s="11">
        <f>CHOOSE($P$6,'COST ASSUMPTIONS'!F$12*'REVENUE ASSUMPTIONS'!F$10,'REVENUE ASSUMPTIONS'!F$34*'COST ASSUMPTIONS'!F$29,'COST ASSUMPTIONS'!F$46*'REVENUE ASSUMPTIONS'!F$58)</f>
        <v>21600</v>
      </c>
      <c r="G16" s="11">
        <f>CHOOSE($P$6,'COST ASSUMPTIONS'!G$12*'REVENUE ASSUMPTIONS'!G$10,'REVENUE ASSUMPTIONS'!G$34*'COST ASSUMPTIONS'!G$29,'COST ASSUMPTIONS'!G$46*'REVENUE ASSUMPTIONS'!G$58)</f>
        <v>22400</v>
      </c>
      <c r="H16" s="11">
        <f>CHOOSE($P$6,'COST ASSUMPTIONS'!H$12*'REVENUE ASSUMPTIONS'!H$10,'REVENUE ASSUMPTIONS'!H$34*'COST ASSUMPTIONS'!H$29,'COST ASSUMPTIONS'!H$46*'REVENUE ASSUMPTIONS'!H$58)</f>
        <v>23200</v>
      </c>
      <c r="I16" s="11">
        <f>CHOOSE($P$6,'COST ASSUMPTIONS'!I$12*'REVENUE ASSUMPTIONS'!I$10,'REVENUE ASSUMPTIONS'!I$34*'COST ASSUMPTIONS'!I$29,'COST ASSUMPTIONS'!I$46*'REVENUE ASSUMPTIONS'!I$58)</f>
        <v>24000</v>
      </c>
      <c r="J16" s="11">
        <f>CHOOSE($P$6,'COST ASSUMPTIONS'!J$12*'REVENUE ASSUMPTIONS'!J$10,'REVENUE ASSUMPTIONS'!J$34*'COST ASSUMPTIONS'!J$29,'COST ASSUMPTIONS'!J$46*'REVENUE ASSUMPTIONS'!J$58)</f>
        <v>24800</v>
      </c>
      <c r="K16" s="11">
        <f>CHOOSE($P$6,'COST ASSUMPTIONS'!K$12*'REVENUE ASSUMPTIONS'!K$10,'REVENUE ASSUMPTIONS'!K$34*'COST ASSUMPTIONS'!K$29,'COST ASSUMPTIONS'!K$46*'REVENUE ASSUMPTIONS'!K$58)</f>
        <v>25600</v>
      </c>
      <c r="L16" s="11">
        <f>CHOOSE($P$6,'COST ASSUMPTIONS'!L$12*'REVENUE ASSUMPTIONS'!L$10,'REVENUE ASSUMPTIONS'!L$34*'COST ASSUMPTIONS'!L$29,'COST ASSUMPTIONS'!L$46*'REVENUE ASSUMPTIONS'!L$58)</f>
        <v>26400</v>
      </c>
      <c r="M16" s="11">
        <f>CHOOSE($P$6,'COST ASSUMPTIONS'!M$12*'REVENUE ASSUMPTIONS'!M$10,'REVENUE ASSUMPTIONS'!M$34*'COST ASSUMPTIONS'!M$29,'COST ASSUMPTIONS'!M$46*'REVENUE ASSUMPTIONS'!M$58)</f>
        <v>27200</v>
      </c>
      <c r="N16" s="11">
        <f>CHOOSE($P$6,'COST ASSUMPTIONS'!N$12*'REVENUE ASSUMPTIONS'!N$10,'REVENUE ASSUMPTIONS'!N$34*'COST ASSUMPTIONS'!N$29,'COST ASSUMPTIONS'!N$46*'REVENUE ASSUMPTIONS'!N$58)</f>
        <v>28000</v>
      </c>
      <c r="O16" s="11">
        <f>CHOOSE($P$6,'COST ASSUMPTIONS'!O$12*'REVENUE ASSUMPTIONS'!O$10,'REVENUE ASSUMPTIONS'!O$34*'COST ASSUMPTIONS'!O$29,'COST ASSUMPTIONS'!O$46*'REVENUE ASSUMPTIONS'!O$58)</f>
        <v>28800</v>
      </c>
      <c r="P16" s="11">
        <f>CHOOSE($P$6,'COST ASSUMPTIONS'!P$12*'REVENUE ASSUMPTIONS'!P$10,'REVENUE ASSUMPTIONS'!P$34*'COST ASSUMPTIONS'!P$29,'COST ASSUMPTIONS'!P$46*'REVENUE ASSUMPTIONS'!P$58)</f>
        <v>22200</v>
      </c>
      <c r="Q16" s="11">
        <f>CHOOSE($P$6,'COST ASSUMPTIONS'!Q$12*'REVENUE ASSUMPTIONS'!Q$10,'REVENUE ASSUMPTIONS'!Q$34*'COST ASSUMPTIONS'!Q$29,'COST ASSUMPTIONS'!Q$46*'REVENUE ASSUMPTIONS'!Q$58)</f>
        <v>22800</v>
      </c>
      <c r="R16" s="11">
        <f>CHOOSE($P$6,'COST ASSUMPTIONS'!R$12*'REVENUE ASSUMPTIONS'!R$10,'REVENUE ASSUMPTIONS'!R$34*'COST ASSUMPTIONS'!R$29,'COST ASSUMPTIONS'!R$46*'REVENUE ASSUMPTIONS'!R$58)</f>
        <v>23400</v>
      </c>
      <c r="S16" s="11">
        <f>CHOOSE($P$6,'COST ASSUMPTIONS'!S$12*'REVENUE ASSUMPTIONS'!S$10,'REVENUE ASSUMPTIONS'!S$34*'COST ASSUMPTIONS'!S$29,'COST ASSUMPTIONS'!S$46*'REVENUE ASSUMPTIONS'!S$58)</f>
        <v>24000</v>
      </c>
      <c r="T16" s="11">
        <f>CHOOSE($P$6,'COST ASSUMPTIONS'!T$12*'REVENUE ASSUMPTIONS'!T$10,'REVENUE ASSUMPTIONS'!T$34*'COST ASSUMPTIONS'!T$29,'COST ASSUMPTIONS'!T$46*'REVENUE ASSUMPTIONS'!T$58)</f>
        <v>24600</v>
      </c>
      <c r="U16" s="11">
        <f>CHOOSE($P$6,'COST ASSUMPTIONS'!U$12*'REVENUE ASSUMPTIONS'!U$10,'REVENUE ASSUMPTIONS'!U$34*'COST ASSUMPTIONS'!U$29,'COST ASSUMPTIONS'!U$46*'REVENUE ASSUMPTIONS'!U$58)</f>
        <v>25200</v>
      </c>
      <c r="V16" s="11">
        <f>CHOOSE($P$6,'COST ASSUMPTIONS'!V$12*'REVENUE ASSUMPTIONS'!V$10,'REVENUE ASSUMPTIONS'!V$34*'COST ASSUMPTIONS'!V$29,'COST ASSUMPTIONS'!V$46*'REVENUE ASSUMPTIONS'!V$58)</f>
        <v>25800</v>
      </c>
      <c r="W16" s="11">
        <f>CHOOSE($P$6,'COST ASSUMPTIONS'!W$12*'REVENUE ASSUMPTIONS'!W$10,'REVENUE ASSUMPTIONS'!W$34*'COST ASSUMPTIONS'!W$29,'COST ASSUMPTIONS'!W$46*'REVENUE ASSUMPTIONS'!W$58)</f>
        <v>26400</v>
      </c>
      <c r="X16" s="11">
        <f>CHOOSE($P$6,'COST ASSUMPTIONS'!X$12*'REVENUE ASSUMPTIONS'!X$10,'REVENUE ASSUMPTIONS'!X$34*'COST ASSUMPTIONS'!X$29,'COST ASSUMPTIONS'!X$46*'REVENUE ASSUMPTIONS'!X$58)</f>
        <v>27000</v>
      </c>
      <c r="Y16" s="11">
        <f>CHOOSE($P$6,'COST ASSUMPTIONS'!Y$12*'REVENUE ASSUMPTIONS'!Y$10,'REVENUE ASSUMPTIONS'!Y$34*'COST ASSUMPTIONS'!Y$29,'COST ASSUMPTIONS'!Y$46*'REVENUE ASSUMPTIONS'!Y$58)</f>
        <v>27600</v>
      </c>
      <c r="Z16" s="11">
        <f>CHOOSE($P$6,'COST ASSUMPTIONS'!Z$12*'REVENUE ASSUMPTIONS'!Z$10,'REVENUE ASSUMPTIONS'!Z$34*'COST ASSUMPTIONS'!Z$29,'COST ASSUMPTIONS'!Z$46*'REVENUE ASSUMPTIONS'!Z$58)</f>
        <v>28200</v>
      </c>
      <c r="AA16" s="16">
        <f>CHOOSE($P$6,'COST ASSUMPTIONS'!AA$12*'REVENUE ASSUMPTIONS'!AA$10,'REVENUE ASSUMPTIONS'!AA$34*'COST ASSUMPTIONS'!AA$29,'COST ASSUMPTIONS'!AA$46*'REVENUE ASSUMPTIONS'!AA$58)</f>
        <v>28800</v>
      </c>
    </row>
    <row r="17" spans="2:27" x14ac:dyDescent="0.25">
      <c r="B17" s="9" t="s">
        <v>52</v>
      </c>
      <c r="C17" s="57" t="s">
        <v>46</v>
      </c>
      <c r="D17" s="11">
        <f>CHOOSE($P$6,'COST ASSUMPTIONS'!D$11*'REVENUE ASSUMPTIONS'!D$22,'REVENUE ASSUMPTIONS'!D$46*'COST ASSUMPTIONS'!D$28,'COST ASSUMPTIONS'!D$45*'REVENUE ASSUMPTIONS'!D$70)</f>
        <v>2250</v>
      </c>
      <c r="E17" s="11">
        <f>CHOOSE($P$6,'COST ASSUMPTIONS'!E$11*'REVENUE ASSUMPTIONS'!E$22,'REVENUE ASSUMPTIONS'!E$46*'COST ASSUMPTIONS'!E$28,'COST ASSUMPTIONS'!E$45*'REVENUE ASSUMPTIONS'!E$70)</f>
        <v>2428</v>
      </c>
      <c r="F17" s="11">
        <f>CHOOSE($P$6,'COST ASSUMPTIONS'!F$11*'REVENUE ASSUMPTIONS'!F$22,'REVENUE ASSUMPTIONS'!F$46*'COST ASSUMPTIONS'!F$28,'COST ASSUMPTIONS'!F$45*'REVENUE ASSUMPTIONS'!F$70)</f>
        <v>2481</v>
      </c>
      <c r="G17" s="11">
        <f>CHOOSE($P$6,'COST ASSUMPTIONS'!G$11*'REVENUE ASSUMPTIONS'!G$22,'REVENUE ASSUMPTIONS'!G$46*'COST ASSUMPTIONS'!G$28,'COST ASSUMPTIONS'!G$45*'REVENUE ASSUMPTIONS'!G$70)</f>
        <v>2534.0000000000005</v>
      </c>
      <c r="H17" s="11">
        <f>CHOOSE($P$6,'COST ASSUMPTIONS'!H$11*'REVENUE ASSUMPTIONS'!H$22,'REVENUE ASSUMPTIONS'!H$46*'COST ASSUMPTIONS'!H$28,'COST ASSUMPTIONS'!H$45*'REVENUE ASSUMPTIONS'!H$70)</f>
        <v>2724</v>
      </c>
      <c r="I17" s="11">
        <f>CHOOSE($P$6,'COST ASSUMPTIONS'!I$11*'REVENUE ASSUMPTIONS'!I$22,'REVENUE ASSUMPTIONS'!I$46*'COST ASSUMPTIONS'!I$28,'COST ASSUMPTIONS'!I$45*'REVENUE ASSUMPTIONS'!I$70)</f>
        <v>2780</v>
      </c>
      <c r="J17" s="11">
        <f>CHOOSE($P$6,'COST ASSUMPTIONS'!J$11*'REVENUE ASSUMPTIONS'!J$22,'REVENUE ASSUMPTIONS'!J$46*'COST ASSUMPTIONS'!J$28,'COST ASSUMPTIONS'!J$45*'REVENUE ASSUMPTIONS'!J$70)</f>
        <v>2268.7999999999997</v>
      </c>
      <c r="K17" s="11">
        <f>CHOOSE($P$6,'COST ASSUMPTIONS'!K$11*'REVENUE ASSUMPTIONS'!K$22,'REVENUE ASSUMPTIONS'!K$46*'COST ASSUMPTIONS'!K$28,'COST ASSUMPTIONS'!K$45*'REVENUE ASSUMPTIONS'!K$70)</f>
        <v>2430.4</v>
      </c>
      <c r="L17" s="11">
        <f>CHOOSE($P$6,'COST ASSUMPTIONS'!L$11*'REVENUE ASSUMPTIONS'!L$22,'REVENUE ASSUMPTIONS'!L$46*'COST ASSUMPTIONS'!L$28,'COST ASSUMPTIONS'!L$45*'REVENUE ASSUMPTIONS'!L$70)</f>
        <v>2477.6</v>
      </c>
      <c r="M17" s="11">
        <f>CHOOSE($P$6,'COST ASSUMPTIONS'!M$11*'REVENUE ASSUMPTIONS'!M$22,'REVENUE ASSUMPTIONS'!M$46*'COST ASSUMPTIONS'!M$28,'COST ASSUMPTIONS'!M$45*'REVENUE ASSUMPTIONS'!M$70)</f>
        <v>2524.7999999999997</v>
      </c>
      <c r="N17" s="11">
        <f>CHOOSE($P$6,'COST ASSUMPTIONS'!N$11*'REVENUE ASSUMPTIONS'!N$22,'REVENUE ASSUMPTIONS'!N$46*'COST ASSUMPTIONS'!N$28,'COST ASSUMPTIONS'!N$45*'REVENUE ASSUMPTIONS'!N$70)</f>
        <v>2696</v>
      </c>
      <c r="O17" s="11">
        <f>CHOOSE($P$6,'COST ASSUMPTIONS'!O$11*'REVENUE ASSUMPTIONS'!O$22,'REVENUE ASSUMPTIONS'!O$46*'COST ASSUMPTIONS'!O$28,'COST ASSUMPTIONS'!O$45*'REVENUE ASSUMPTIONS'!O$70)</f>
        <v>2745.6</v>
      </c>
      <c r="P17" s="11">
        <f>CHOOSE($P$6,'COST ASSUMPTIONS'!P$11*'REVENUE ASSUMPTIONS'!P$22,'REVENUE ASSUMPTIONS'!P$46*'COST ASSUMPTIONS'!P$28,'COST ASSUMPTIONS'!P$45*'REVENUE ASSUMPTIONS'!P$70)</f>
        <v>2795.2000000000003</v>
      </c>
      <c r="Q17" s="11">
        <f>CHOOSE($P$6,'COST ASSUMPTIONS'!Q$11*'REVENUE ASSUMPTIONS'!Q$22,'REVENUE ASSUMPTIONS'!Q$46*'COST ASSUMPTIONS'!Q$28,'COST ASSUMPTIONS'!Q$45*'REVENUE ASSUMPTIONS'!Q$70)</f>
        <v>2976</v>
      </c>
      <c r="R17" s="11">
        <f>CHOOSE($P$6,'COST ASSUMPTIONS'!R$11*'REVENUE ASSUMPTIONS'!R$22,'REVENUE ASSUMPTIONS'!R$46*'COST ASSUMPTIONS'!R$28,'COST ASSUMPTIONS'!R$45*'REVENUE ASSUMPTIONS'!R$70)</f>
        <v>3028</v>
      </c>
      <c r="S17" s="11">
        <f>CHOOSE($P$6,'COST ASSUMPTIONS'!S$11*'REVENUE ASSUMPTIONS'!S$22,'REVENUE ASSUMPTIONS'!S$46*'COST ASSUMPTIONS'!S$28,'COST ASSUMPTIONS'!S$45*'REVENUE ASSUMPTIONS'!S$70)</f>
        <v>3080</v>
      </c>
      <c r="T17" s="11">
        <f>CHOOSE($P$6,'COST ASSUMPTIONS'!T$11*'REVENUE ASSUMPTIONS'!T$22,'REVENUE ASSUMPTIONS'!T$46*'COST ASSUMPTIONS'!T$28,'COST ASSUMPTIONS'!T$45*'REVENUE ASSUMPTIONS'!T$70)</f>
        <v>3270.3999999999996</v>
      </c>
      <c r="U17" s="11">
        <f>CHOOSE($P$6,'COST ASSUMPTIONS'!U$11*'REVENUE ASSUMPTIONS'!U$22,'REVENUE ASSUMPTIONS'!U$46*'COST ASSUMPTIONS'!U$28,'COST ASSUMPTIONS'!U$45*'REVENUE ASSUMPTIONS'!U$70)</f>
        <v>3324.7999999999997</v>
      </c>
      <c r="V17" s="11">
        <f>CHOOSE($P$6,'COST ASSUMPTIONS'!V$11*'REVENUE ASSUMPTIONS'!V$22,'REVENUE ASSUMPTIONS'!V$46*'COST ASSUMPTIONS'!V$28,'COST ASSUMPTIONS'!V$45*'REVENUE ASSUMPTIONS'!V$70)</f>
        <v>2534.3999999999996</v>
      </c>
      <c r="W17" s="11">
        <f>CHOOSE($P$6,'COST ASSUMPTIONS'!W$11*'REVENUE ASSUMPTIONS'!W$22,'REVENUE ASSUMPTIONS'!W$46*'COST ASSUMPTIONS'!W$28,'COST ASSUMPTIONS'!W$45*'REVENUE ASSUMPTIONS'!W$70)</f>
        <v>2684.4</v>
      </c>
      <c r="X17" s="11">
        <f>CHOOSE($P$6,'COST ASSUMPTIONS'!X$11*'REVENUE ASSUMPTIONS'!X$22,'REVENUE ASSUMPTIONS'!X$46*'COST ASSUMPTIONS'!X$28,'COST ASSUMPTIONS'!X$45*'REVENUE ASSUMPTIONS'!X$70)</f>
        <v>2727</v>
      </c>
      <c r="Y17" s="11">
        <f>CHOOSE($P$6,'COST ASSUMPTIONS'!Y$11*'REVENUE ASSUMPTIONS'!Y$22,'REVENUE ASSUMPTIONS'!Y$46*'COST ASSUMPTIONS'!Y$28,'COST ASSUMPTIONS'!Y$45*'REVENUE ASSUMPTIONS'!Y$70)</f>
        <v>2769.6</v>
      </c>
      <c r="Z17" s="11">
        <f>CHOOSE($P$6,'COST ASSUMPTIONS'!Z$11*'REVENUE ASSUMPTIONS'!Z$22,'REVENUE ASSUMPTIONS'!Z$46*'COST ASSUMPTIONS'!Z$28,'COST ASSUMPTIONS'!Z$45*'REVENUE ASSUMPTIONS'!Z$70)</f>
        <v>2926.7999999999997</v>
      </c>
      <c r="AA17" s="16">
        <f>CHOOSE($P$6,'COST ASSUMPTIONS'!AA$11*'REVENUE ASSUMPTIONS'!AA$22,'REVENUE ASSUMPTIONS'!AA$46*'COST ASSUMPTIONS'!AA$28,'COST ASSUMPTIONS'!AA$45*'REVENUE ASSUMPTIONS'!AA$70)</f>
        <v>2971.2</v>
      </c>
    </row>
    <row r="18" spans="2:27" ht="7.05" customHeight="1" x14ac:dyDescent="0.25">
      <c r="B18" s="8"/>
      <c r="C18" s="8"/>
      <c r="D18" s="11"/>
      <c r="E18" s="11"/>
      <c r="F18" s="11"/>
      <c r="G18" s="11"/>
      <c r="H18" s="11"/>
      <c r="I18" s="11"/>
      <c r="J18" s="11"/>
      <c r="K18" s="11"/>
      <c r="L18" s="11"/>
      <c r="M18" s="11"/>
      <c r="N18" s="11"/>
      <c r="O18" s="11"/>
      <c r="P18" s="11"/>
      <c r="Q18" s="11"/>
      <c r="R18" s="11"/>
      <c r="S18" s="11"/>
      <c r="T18" s="11"/>
      <c r="U18" s="11"/>
      <c r="V18" s="11"/>
      <c r="W18" s="11"/>
      <c r="X18" s="11"/>
      <c r="Y18" s="11"/>
      <c r="Z18" s="11"/>
      <c r="AA18" s="16"/>
    </row>
    <row r="19" spans="2:27" x14ac:dyDescent="0.25">
      <c r="B19" s="14" t="s">
        <v>53</v>
      </c>
      <c r="C19" s="33" t="s">
        <v>46</v>
      </c>
      <c r="D19" s="71">
        <f>D16+D17</f>
        <v>22250</v>
      </c>
      <c r="E19" s="71">
        <f t="shared" ref="E19:O19" si="4">E16+E17</f>
        <v>23228</v>
      </c>
      <c r="F19" s="71">
        <f t="shared" si="4"/>
        <v>24081</v>
      </c>
      <c r="G19" s="71">
        <f t="shared" si="4"/>
        <v>24934</v>
      </c>
      <c r="H19" s="71">
        <f t="shared" si="4"/>
        <v>25924</v>
      </c>
      <c r="I19" s="71">
        <f t="shared" si="4"/>
        <v>26780</v>
      </c>
      <c r="J19" s="71">
        <f t="shared" si="4"/>
        <v>27068.799999999999</v>
      </c>
      <c r="K19" s="71">
        <f t="shared" si="4"/>
        <v>28030.400000000001</v>
      </c>
      <c r="L19" s="71">
        <f t="shared" si="4"/>
        <v>28877.599999999999</v>
      </c>
      <c r="M19" s="71">
        <f t="shared" si="4"/>
        <v>29724.799999999999</v>
      </c>
      <c r="N19" s="71">
        <f t="shared" si="4"/>
        <v>30696</v>
      </c>
      <c r="O19" s="71">
        <f t="shared" si="4"/>
        <v>31545.599999999999</v>
      </c>
      <c r="P19" s="71">
        <f t="shared" ref="P19:AA19" si="5">P16+P17</f>
        <v>24995.200000000001</v>
      </c>
      <c r="Q19" s="71">
        <f t="shared" si="5"/>
        <v>25776</v>
      </c>
      <c r="R19" s="71">
        <f t="shared" si="5"/>
        <v>26428</v>
      </c>
      <c r="S19" s="71">
        <f t="shared" si="5"/>
        <v>27080</v>
      </c>
      <c r="T19" s="71">
        <f t="shared" si="5"/>
        <v>27870.400000000001</v>
      </c>
      <c r="U19" s="71">
        <f t="shared" si="5"/>
        <v>28524.799999999999</v>
      </c>
      <c r="V19" s="71">
        <f t="shared" si="5"/>
        <v>28334.400000000001</v>
      </c>
      <c r="W19" s="71">
        <f t="shared" si="5"/>
        <v>29084.400000000001</v>
      </c>
      <c r="X19" s="71">
        <f t="shared" si="5"/>
        <v>29727</v>
      </c>
      <c r="Y19" s="71">
        <f t="shared" si="5"/>
        <v>30369.599999999999</v>
      </c>
      <c r="Z19" s="71">
        <f t="shared" si="5"/>
        <v>31126.799999999999</v>
      </c>
      <c r="AA19" s="72">
        <f t="shared" si="5"/>
        <v>31771.200000000001</v>
      </c>
    </row>
    <row r="20" spans="2:27" x14ac:dyDescent="0.25">
      <c r="B20" s="8"/>
      <c r="C20" s="8"/>
      <c r="D20" s="11"/>
      <c r="E20" s="11"/>
      <c r="F20" s="11"/>
      <c r="G20" s="11"/>
      <c r="H20" s="11"/>
      <c r="I20" s="11"/>
      <c r="J20" s="11"/>
      <c r="K20" s="11"/>
      <c r="L20" s="11"/>
      <c r="M20" s="11"/>
      <c r="N20" s="11"/>
    </row>
    <row r="21" spans="2:27" x14ac:dyDescent="0.25">
      <c r="B21" s="45" t="s">
        <v>54</v>
      </c>
      <c r="C21" s="59" t="s">
        <v>46</v>
      </c>
      <c r="D21" s="69">
        <f>D11-D19</f>
        <v>17350</v>
      </c>
      <c r="E21" s="69">
        <f t="shared" ref="E21:O21" si="6">E11-E19</f>
        <v>19504.800000000003</v>
      </c>
      <c r="F21" s="69">
        <f t="shared" si="6"/>
        <v>19584.599999999999</v>
      </c>
      <c r="G21" s="69">
        <f t="shared" si="6"/>
        <v>19664.400000000009</v>
      </c>
      <c r="H21" s="69">
        <f t="shared" si="6"/>
        <v>22018.399999999994</v>
      </c>
      <c r="I21" s="69">
        <f t="shared" si="6"/>
        <v>22148</v>
      </c>
      <c r="J21" s="69">
        <f t="shared" si="6"/>
        <v>22844.799999999992</v>
      </c>
      <c r="K21" s="69">
        <f t="shared" si="6"/>
        <v>25438.400000000001</v>
      </c>
      <c r="L21" s="69">
        <f t="shared" si="6"/>
        <v>25629.599999999999</v>
      </c>
      <c r="M21" s="69">
        <f t="shared" si="6"/>
        <v>25820.799999999992</v>
      </c>
      <c r="N21" s="69">
        <f t="shared" si="6"/>
        <v>28616</v>
      </c>
      <c r="O21" s="69">
        <f t="shared" si="6"/>
        <v>28857.599999999999</v>
      </c>
      <c r="P21" s="69">
        <f t="shared" ref="P21:AA21" si="7">P11-P19</f>
        <v>109873.20000000003</v>
      </c>
      <c r="Q21" s="69">
        <f t="shared" si="7"/>
        <v>117816</v>
      </c>
      <c r="R21" s="69">
        <f t="shared" si="7"/>
        <v>119673</v>
      </c>
      <c r="S21" s="69">
        <f t="shared" si="7"/>
        <v>121530</v>
      </c>
      <c r="T21" s="69">
        <f t="shared" si="7"/>
        <v>129926.39999999999</v>
      </c>
      <c r="U21" s="69">
        <f t="shared" si="7"/>
        <v>131896.79999999999</v>
      </c>
      <c r="V21" s="69">
        <f t="shared" si="7"/>
        <v>134712</v>
      </c>
      <c r="W21" s="69">
        <f t="shared" si="7"/>
        <v>143612.00000000003</v>
      </c>
      <c r="X21" s="69">
        <f t="shared" si="7"/>
        <v>145710</v>
      </c>
      <c r="Y21" s="69">
        <f t="shared" si="7"/>
        <v>147807.99999999997</v>
      </c>
      <c r="Z21" s="69">
        <f t="shared" si="7"/>
        <v>157164</v>
      </c>
      <c r="AA21" s="70">
        <f t="shared" si="7"/>
        <v>159376</v>
      </c>
    </row>
    <row r="22" spans="2:27" x14ac:dyDescent="0.25">
      <c r="B22" s="58" t="s">
        <v>55</v>
      </c>
      <c r="C22" s="31" t="s">
        <v>45</v>
      </c>
      <c r="D22" s="73">
        <f>D21/D8</f>
        <v>0.38555555555555554</v>
      </c>
      <c r="E22" s="73">
        <f t="shared" ref="E22:O22" si="8">E21/E8</f>
        <v>0.40166392092257008</v>
      </c>
      <c r="F22" s="73">
        <f t="shared" si="8"/>
        <v>0.39469165659008459</v>
      </c>
      <c r="G22" s="73">
        <f t="shared" si="8"/>
        <v>0.388011049723757</v>
      </c>
      <c r="H22" s="73">
        <f t="shared" si="8"/>
        <v>0.40415565345080756</v>
      </c>
      <c r="I22" s="73">
        <f t="shared" si="8"/>
        <v>0.39834532374100717</v>
      </c>
      <c r="J22" s="73">
        <f t="shared" si="8"/>
        <v>0.40276445698166424</v>
      </c>
      <c r="K22" s="73">
        <f t="shared" si="8"/>
        <v>0.41867017774851878</v>
      </c>
      <c r="L22" s="73">
        <f t="shared" si="8"/>
        <v>0.4137810784630287</v>
      </c>
      <c r="M22" s="73">
        <f t="shared" si="8"/>
        <v>0.4090747782002534</v>
      </c>
      <c r="N22" s="73">
        <f t="shared" si="8"/>
        <v>0.42456973293768546</v>
      </c>
      <c r="O22" s="74">
        <f t="shared" si="8"/>
        <v>0.42041958041958039</v>
      </c>
      <c r="P22" s="74">
        <f t="shared" ref="P22:AA22" si="9">P21/P8</f>
        <v>0.77074143910569393</v>
      </c>
      <c r="Q22" s="74">
        <f t="shared" si="9"/>
        <v>0.77624920936116382</v>
      </c>
      <c r="R22" s="74">
        <f t="shared" si="9"/>
        <v>0.77494366306628326</v>
      </c>
      <c r="S22" s="74">
        <f t="shared" si="9"/>
        <v>0.77368220015278844</v>
      </c>
      <c r="T22" s="74">
        <f t="shared" si="9"/>
        <v>0.77898008518475881</v>
      </c>
      <c r="U22" s="74">
        <f t="shared" si="9"/>
        <v>0.77785483779652376</v>
      </c>
      <c r="V22" s="74">
        <f t="shared" si="9"/>
        <v>0.78166778074866317</v>
      </c>
      <c r="W22" s="74">
        <f t="shared" si="9"/>
        <v>0.78674607974615873</v>
      </c>
      <c r="X22" s="74">
        <f t="shared" si="9"/>
        <v>0.78576975344593281</v>
      </c>
      <c r="Y22" s="74">
        <f t="shared" si="9"/>
        <v>0.78482346144697035</v>
      </c>
      <c r="Z22" s="74">
        <f t="shared" si="9"/>
        <v>0.78967995562308568</v>
      </c>
      <c r="AA22" s="74">
        <f t="shared" si="9"/>
        <v>0.78882764737558997</v>
      </c>
    </row>
    <row r="23" spans="2:27" ht="7.05" customHeight="1" x14ac:dyDescent="0.25">
      <c r="B23" s="25"/>
      <c r="C23" s="46"/>
      <c r="D23" s="46"/>
      <c r="E23" s="46"/>
      <c r="F23" s="46"/>
      <c r="G23" s="46"/>
      <c r="H23" s="46"/>
      <c r="I23" s="46"/>
      <c r="J23" s="46"/>
      <c r="K23" s="46"/>
      <c r="L23" s="46"/>
      <c r="M23" s="46"/>
      <c r="N23" s="46"/>
      <c r="O23" s="26"/>
      <c r="P23" s="26"/>
      <c r="Q23" s="26"/>
      <c r="R23" s="26"/>
      <c r="S23" s="26"/>
      <c r="T23" s="26"/>
      <c r="U23" s="26"/>
      <c r="V23" s="26"/>
      <c r="W23" s="26"/>
      <c r="X23" s="26"/>
      <c r="Y23" s="26"/>
      <c r="Z23" s="26"/>
      <c r="AA23" s="26"/>
    </row>
    <row r="24" spans="2:27" x14ac:dyDescent="0.25">
      <c r="B24" s="8" t="s">
        <v>59</v>
      </c>
      <c r="C24" s="11"/>
      <c r="D24" s="11"/>
      <c r="E24" s="11"/>
      <c r="F24" s="11"/>
      <c r="G24" s="11"/>
      <c r="H24" s="11"/>
      <c r="I24" s="11"/>
      <c r="J24" s="11"/>
      <c r="K24" s="11"/>
      <c r="L24" s="11"/>
      <c r="M24" s="11"/>
      <c r="N24" s="11"/>
    </row>
    <row r="25" spans="2:27" ht="7.05" customHeight="1" x14ac:dyDescent="0.25">
      <c r="B25" s="8"/>
      <c r="C25" s="11"/>
      <c r="D25" s="11"/>
      <c r="E25" s="11"/>
      <c r="F25" s="11"/>
      <c r="G25" s="11"/>
      <c r="H25" s="11"/>
      <c r="I25" s="11"/>
      <c r="J25" s="11"/>
      <c r="K25" s="11"/>
      <c r="L25" s="11"/>
      <c r="M25" s="11"/>
      <c r="N25" s="11"/>
    </row>
    <row r="26" spans="2:27" x14ac:dyDescent="0.25">
      <c r="B26" s="8" t="s">
        <v>60</v>
      </c>
      <c r="C26" s="60" t="s">
        <v>46</v>
      </c>
      <c r="D26" s="11">
        <f>CHOOSE($P$6,'COST ASSUMPTIONS'!D16+'COST ASSUMPTIONS'!D17+'COST ASSUMPTIONS'!D18,'COST ASSUMPTIONS'!D33+'COST ASSUMPTIONS'!D34+'COST ASSUMPTIONS'!D35,'COST ASSUMPTIONS'!D50+'COST ASSUMPTIONS'!D51+'COST ASSUMPTIONS'!D52)</f>
        <v>66000</v>
      </c>
      <c r="E26" s="11">
        <f>CHOOSE($P$6,'COST ASSUMPTIONS'!E16+'COST ASSUMPTIONS'!E17+'COST ASSUMPTIONS'!E18,'COST ASSUMPTIONS'!E33+'COST ASSUMPTIONS'!E34+'COST ASSUMPTIONS'!E35,'COST ASSUMPTIONS'!E50+'COST ASSUMPTIONS'!E51+'COST ASSUMPTIONS'!E52)</f>
        <v>66000</v>
      </c>
      <c r="F26" s="11">
        <f>CHOOSE($P$6,'COST ASSUMPTIONS'!F16+'COST ASSUMPTIONS'!F17+'COST ASSUMPTIONS'!F18,'COST ASSUMPTIONS'!F33+'COST ASSUMPTIONS'!F34+'COST ASSUMPTIONS'!F35,'COST ASSUMPTIONS'!F50+'COST ASSUMPTIONS'!F51+'COST ASSUMPTIONS'!F52)</f>
        <v>66000</v>
      </c>
      <c r="G26" s="11">
        <f>CHOOSE($P$6,'COST ASSUMPTIONS'!G16+'COST ASSUMPTIONS'!G17+'COST ASSUMPTIONS'!G18,'COST ASSUMPTIONS'!G33+'COST ASSUMPTIONS'!G34+'COST ASSUMPTIONS'!G35,'COST ASSUMPTIONS'!G50+'COST ASSUMPTIONS'!G51+'COST ASSUMPTIONS'!G52)</f>
        <v>66000</v>
      </c>
      <c r="H26" s="11">
        <f>CHOOSE($P$6,'COST ASSUMPTIONS'!H16+'COST ASSUMPTIONS'!H17+'COST ASSUMPTIONS'!H18,'COST ASSUMPTIONS'!H33+'COST ASSUMPTIONS'!H34+'COST ASSUMPTIONS'!H35,'COST ASSUMPTIONS'!H50+'COST ASSUMPTIONS'!H51+'COST ASSUMPTIONS'!H52)</f>
        <v>66000</v>
      </c>
      <c r="I26" s="11">
        <f>CHOOSE($P$6,'COST ASSUMPTIONS'!I16+'COST ASSUMPTIONS'!I17+'COST ASSUMPTIONS'!I18,'COST ASSUMPTIONS'!I33+'COST ASSUMPTIONS'!I34+'COST ASSUMPTIONS'!I35,'COST ASSUMPTIONS'!I50+'COST ASSUMPTIONS'!I51+'COST ASSUMPTIONS'!I52)</f>
        <v>66000</v>
      </c>
      <c r="J26" s="11">
        <f>CHOOSE($P$6,'COST ASSUMPTIONS'!J16+'COST ASSUMPTIONS'!J17+'COST ASSUMPTIONS'!J18,'COST ASSUMPTIONS'!J33+'COST ASSUMPTIONS'!J34+'COST ASSUMPTIONS'!J35,'COST ASSUMPTIONS'!J50+'COST ASSUMPTIONS'!J51+'COST ASSUMPTIONS'!J52)</f>
        <v>66000</v>
      </c>
      <c r="K26" s="11">
        <f>CHOOSE($P$6,'COST ASSUMPTIONS'!K16+'COST ASSUMPTIONS'!K17+'COST ASSUMPTIONS'!K18,'COST ASSUMPTIONS'!K33+'COST ASSUMPTIONS'!K34+'COST ASSUMPTIONS'!K35,'COST ASSUMPTIONS'!K50+'COST ASSUMPTIONS'!K51+'COST ASSUMPTIONS'!K52)</f>
        <v>66000</v>
      </c>
      <c r="L26" s="11">
        <f>CHOOSE($P$6,'COST ASSUMPTIONS'!L16+'COST ASSUMPTIONS'!L17+'COST ASSUMPTIONS'!L18,'COST ASSUMPTIONS'!L33+'COST ASSUMPTIONS'!L34+'COST ASSUMPTIONS'!L35,'COST ASSUMPTIONS'!L50+'COST ASSUMPTIONS'!L51+'COST ASSUMPTIONS'!L52)</f>
        <v>66000</v>
      </c>
      <c r="M26" s="11">
        <f>CHOOSE($P$6,'COST ASSUMPTIONS'!M16+'COST ASSUMPTIONS'!M17+'COST ASSUMPTIONS'!M18,'COST ASSUMPTIONS'!M33+'COST ASSUMPTIONS'!M34+'COST ASSUMPTIONS'!M35,'COST ASSUMPTIONS'!M50+'COST ASSUMPTIONS'!M51+'COST ASSUMPTIONS'!M52)</f>
        <v>66000</v>
      </c>
      <c r="N26" s="11">
        <f>CHOOSE($P$6,'COST ASSUMPTIONS'!N16+'COST ASSUMPTIONS'!N17+'COST ASSUMPTIONS'!N18,'COST ASSUMPTIONS'!N33+'COST ASSUMPTIONS'!N34+'COST ASSUMPTIONS'!N35,'COST ASSUMPTIONS'!N50+'COST ASSUMPTIONS'!N51+'COST ASSUMPTIONS'!N52)</f>
        <v>66000</v>
      </c>
      <c r="O26" s="11">
        <f>CHOOSE($P$6,'COST ASSUMPTIONS'!O16+'COST ASSUMPTIONS'!O17+'COST ASSUMPTIONS'!O18,'COST ASSUMPTIONS'!O33+'COST ASSUMPTIONS'!O34+'COST ASSUMPTIONS'!O35,'COST ASSUMPTIONS'!O50+'COST ASSUMPTIONS'!O51+'COST ASSUMPTIONS'!O52)</f>
        <v>66000</v>
      </c>
      <c r="P26" s="11">
        <f>CHOOSE($P$6,'COST ASSUMPTIONS'!P16+'COST ASSUMPTIONS'!P17+'COST ASSUMPTIONS'!P18,'COST ASSUMPTIONS'!P33+'COST ASSUMPTIONS'!P34+'COST ASSUMPTIONS'!P35,'COST ASSUMPTIONS'!P50+'COST ASSUMPTIONS'!P51+'COST ASSUMPTIONS'!P52)</f>
        <v>69000</v>
      </c>
      <c r="Q26" s="11">
        <f>CHOOSE($P$6,'COST ASSUMPTIONS'!Q16+'COST ASSUMPTIONS'!Q17+'COST ASSUMPTIONS'!Q18,'COST ASSUMPTIONS'!Q33+'COST ASSUMPTIONS'!Q34+'COST ASSUMPTIONS'!Q35,'COST ASSUMPTIONS'!Q50+'COST ASSUMPTIONS'!Q51+'COST ASSUMPTIONS'!Q52)</f>
        <v>69000</v>
      </c>
      <c r="R26" s="11">
        <f>CHOOSE($P$6,'COST ASSUMPTIONS'!R16+'COST ASSUMPTIONS'!R17+'COST ASSUMPTIONS'!R18,'COST ASSUMPTIONS'!R33+'COST ASSUMPTIONS'!R34+'COST ASSUMPTIONS'!R35,'COST ASSUMPTIONS'!R50+'COST ASSUMPTIONS'!R51+'COST ASSUMPTIONS'!R52)</f>
        <v>69000</v>
      </c>
      <c r="S26" s="11">
        <f>CHOOSE($P$6,'COST ASSUMPTIONS'!S16+'COST ASSUMPTIONS'!S17+'COST ASSUMPTIONS'!S18,'COST ASSUMPTIONS'!S33+'COST ASSUMPTIONS'!S34+'COST ASSUMPTIONS'!S35,'COST ASSUMPTIONS'!S50+'COST ASSUMPTIONS'!S51+'COST ASSUMPTIONS'!S52)</f>
        <v>69000</v>
      </c>
      <c r="T26" s="11">
        <f>CHOOSE($P$6,'COST ASSUMPTIONS'!T16+'COST ASSUMPTIONS'!T17+'COST ASSUMPTIONS'!T18,'COST ASSUMPTIONS'!T33+'COST ASSUMPTIONS'!T34+'COST ASSUMPTIONS'!T35,'COST ASSUMPTIONS'!T50+'COST ASSUMPTIONS'!T51+'COST ASSUMPTIONS'!T52)</f>
        <v>69000</v>
      </c>
      <c r="U26" s="11">
        <f>CHOOSE($P$6,'COST ASSUMPTIONS'!U16+'COST ASSUMPTIONS'!U17+'COST ASSUMPTIONS'!U18,'COST ASSUMPTIONS'!U33+'COST ASSUMPTIONS'!U34+'COST ASSUMPTIONS'!U35,'COST ASSUMPTIONS'!U50+'COST ASSUMPTIONS'!U51+'COST ASSUMPTIONS'!U52)</f>
        <v>69000</v>
      </c>
      <c r="V26" s="11">
        <f>CHOOSE($P$6,'COST ASSUMPTIONS'!V16+'COST ASSUMPTIONS'!V17+'COST ASSUMPTIONS'!V18,'COST ASSUMPTIONS'!V33+'COST ASSUMPTIONS'!V34+'COST ASSUMPTIONS'!V35,'COST ASSUMPTIONS'!V50+'COST ASSUMPTIONS'!V51+'COST ASSUMPTIONS'!V52)</f>
        <v>69000</v>
      </c>
      <c r="W26" s="11">
        <f>CHOOSE($P$6,'COST ASSUMPTIONS'!W16+'COST ASSUMPTIONS'!W17+'COST ASSUMPTIONS'!W18,'COST ASSUMPTIONS'!W33+'COST ASSUMPTIONS'!W34+'COST ASSUMPTIONS'!W35,'COST ASSUMPTIONS'!W50+'COST ASSUMPTIONS'!W51+'COST ASSUMPTIONS'!W52)</f>
        <v>69000</v>
      </c>
      <c r="X26" s="11">
        <f>CHOOSE($P$6,'COST ASSUMPTIONS'!X16+'COST ASSUMPTIONS'!X17+'COST ASSUMPTIONS'!X18,'COST ASSUMPTIONS'!X33+'COST ASSUMPTIONS'!X34+'COST ASSUMPTIONS'!X35,'COST ASSUMPTIONS'!X50+'COST ASSUMPTIONS'!X51+'COST ASSUMPTIONS'!X52)</f>
        <v>69000</v>
      </c>
      <c r="Y26" s="11">
        <f>CHOOSE($P$6,'COST ASSUMPTIONS'!Y16+'COST ASSUMPTIONS'!Y17+'COST ASSUMPTIONS'!Y18,'COST ASSUMPTIONS'!Y33+'COST ASSUMPTIONS'!Y34+'COST ASSUMPTIONS'!Y35,'COST ASSUMPTIONS'!Y50+'COST ASSUMPTIONS'!Y51+'COST ASSUMPTIONS'!Y52)</f>
        <v>69000</v>
      </c>
      <c r="Z26" s="11">
        <f>CHOOSE($P$6,'COST ASSUMPTIONS'!Z16+'COST ASSUMPTIONS'!Z17+'COST ASSUMPTIONS'!Z18,'COST ASSUMPTIONS'!Z33+'COST ASSUMPTIONS'!Z34+'COST ASSUMPTIONS'!Z35,'COST ASSUMPTIONS'!Z50+'COST ASSUMPTIONS'!Z51+'COST ASSUMPTIONS'!Z52)</f>
        <v>69000</v>
      </c>
      <c r="AA26" s="16">
        <f>CHOOSE($P$6,'COST ASSUMPTIONS'!AA16+'COST ASSUMPTIONS'!AA17+'COST ASSUMPTIONS'!AA18,'COST ASSUMPTIONS'!AA33+'COST ASSUMPTIONS'!AA34+'COST ASSUMPTIONS'!AA35,'COST ASSUMPTIONS'!AA50+'COST ASSUMPTIONS'!AA51+'COST ASSUMPTIONS'!AA52)</f>
        <v>69000</v>
      </c>
    </row>
    <row r="27" spans="2:27" x14ac:dyDescent="0.25">
      <c r="B27" s="8" t="s">
        <v>35</v>
      </c>
      <c r="C27" s="60" t="s">
        <v>46</v>
      </c>
      <c r="D27" s="11">
        <f>CHOOSE($P$6,'COST ASSUMPTIONS'!D19,'COST ASSUMPTIONS'!D36,'COST ASSUMPTIONS'!D53)</f>
        <v>2200</v>
      </c>
      <c r="E27" s="11">
        <f>CHOOSE($P$6,'COST ASSUMPTIONS'!E19,'COST ASSUMPTIONS'!E36,'COST ASSUMPTIONS'!E53)</f>
        <v>2200</v>
      </c>
      <c r="F27" s="11">
        <f>CHOOSE($P$6,'COST ASSUMPTIONS'!F19,'COST ASSUMPTIONS'!F36,'COST ASSUMPTIONS'!F53)</f>
        <v>2200</v>
      </c>
      <c r="G27" s="11">
        <f>CHOOSE($P$6,'COST ASSUMPTIONS'!G19,'COST ASSUMPTIONS'!G36,'COST ASSUMPTIONS'!G53)</f>
        <v>2200</v>
      </c>
      <c r="H27" s="11">
        <f>CHOOSE($P$6,'COST ASSUMPTIONS'!H19,'COST ASSUMPTIONS'!H36,'COST ASSUMPTIONS'!H53)</f>
        <v>2200</v>
      </c>
      <c r="I27" s="11">
        <f>CHOOSE($P$6,'COST ASSUMPTIONS'!I19,'COST ASSUMPTIONS'!I36,'COST ASSUMPTIONS'!I53)</f>
        <v>2200</v>
      </c>
      <c r="J27" s="11">
        <f>CHOOSE($P$6,'COST ASSUMPTIONS'!J19,'COST ASSUMPTIONS'!J36,'COST ASSUMPTIONS'!J53)</f>
        <v>2200</v>
      </c>
      <c r="K27" s="11">
        <f>CHOOSE($P$6,'COST ASSUMPTIONS'!K19,'COST ASSUMPTIONS'!K36,'COST ASSUMPTIONS'!K53)</f>
        <v>2200</v>
      </c>
      <c r="L27" s="11">
        <f>CHOOSE($P$6,'COST ASSUMPTIONS'!L19,'COST ASSUMPTIONS'!L36,'COST ASSUMPTIONS'!L53)</f>
        <v>2200</v>
      </c>
      <c r="M27" s="11">
        <f>CHOOSE($P$6,'COST ASSUMPTIONS'!M19,'COST ASSUMPTIONS'!M36,'COST ASSUMPTIONS'!M53)</f>
        <v>2200</v>
      </c>
      <c r="N27" s="11">
        <f>CHOOSE($P$6,'COST ASSUMPTIONS'!N19,'COST ASSUMPTIONS'!N36,'COST ASSUMPTIONS'!N53)</f>
        <v>2200</v>
      </c>
      <c r="O27" s="11">
        <f>CHOOSE($P$6,'COST ASSUMPTIONS'!O19,'COST ASSUMPTIONS'!O36,'COST ASSUMPTIONS'!O53)</f>
        <v>2200</v>
      </c>
      <c r="P27" s="11">
        <f>CHOOSE($P$6,'COST ASSUMPTIONS'!P19,'COST ASSUMPTIONS'!P36,'COST ASSUMPTIONS'!P53)</f>
        <v>2300</v>
      </c>
      <c r="Q27" s="11">
        <f>CHOOSE($P$6,'COST ASSUMPTIONS'!Q19,'COST ASSUMPTIONS'!Q36,'COST ASSUMPTIONS'!Q53)</f>
        <v>2300</v>
      </c>
      <c r="R27" s="11">
        <f>CHOOSE($P$6,'COST ASSUMPTIONS'!R19,'COST ASSUMPTIONS'!R36,'COST ASSUMPTIONS'!R53)</f>
        <v>2300</v>
      </c>
      <c r="S27" s="11">
        <f>CHOOSE($P$6,'COST ASSUMPTIONS'!S19,'COST ASSUMPTIONS'!S36,'COST ASSUMPTIONS'!S53)</f>
        <v>2300</v>
      </c>
      <c r="T27" s="11">
        <f>CHOOSE($P$6,'COST ASSUMPTIONS'!T19,'COST ASSUMPTIONS'!T36,'COST ASSUMPTIONS'!T53)</f>
        <v>2300</v>
      </c>
      <c r="U27" s="11">
        <f>CHOOSE($P$6,'COST ASSUMPTIONS'!U19,'COST ASSUMPTIONS'!U36,'COST ASSUMPTIONS'!U53)</f>
        <v>2300</v>
      </c>
      <c r="V27" s="11">
        <f>CHOOSE($P$6,'COST ASSUMPTIONS'!V19,'COST ASSUMPTIONS'!V36,'COST ASSUMPTIONS'!V53)</f>
        <v>2300</v>
      </c>
      <c r="W27" s="11">
        <f>CHOOSE($P$6,'COST ASSUMPTIONS'!W19,'COST ASSUMPTIONS'!W36,'COST ASSUMPTIONS'!W53)</f>
        <v>2300</v>
      </c>
      <c r="X27" s="11">
        <f>CHOOSE($P$6,'COST ASSUMPTIONS'!X19,'COST ASSUMPTIONS'!X36,'COST ASSUMPTIONS'!X53)</f>
        <v>2300</v>
      </c>
      <c r="Y27" s="11">
        <f>CHOOSE($P$6,'COST ASSUMPTIONS'!Y19,'COST ASSUMPTIONS'!Y36,'COST ASSUMPTIONS'!Y53)</f>
        <v>2300</v>
      </c>
      <c r="Z27" s="11">
        <f>CHOOSE($P$6,'COST ASSUMPTIONS'!Z19,'COST ASSUMPTIONS'!Z36,'COST ASSUMPTIONS'!Z53)</f>
        <v>2300</v>
      </c>
      <c r="AA27" s="16">
        <f>CHOOSE($P$6,'COST ASSUMPTIONS'!AA19,'COST ASSUMPTIONS'!AA36,'COST ASSUMPTIONS'!AA53)</f>
        <v>2300</v>
      </c>
    </row>
    <row r="28" spans="2:27" ht="7.05" customHeight="1" x14ac:dyDescent="0.25">
      <c r="B28" s="27"/>
      <c r="C28" s="13"/>
      <c r="D28" s="13"/>
      <c r="E28" s="13"/>
      <c r="F28" s="13"/>
      <c r="G28" s="13"/>
      <c r="H28" s="13"/>
      <c r="I28" s="13"/>
      <c r="J28" s="13"/>
      <c r="K28" s="13"/>
      <c r="L28" s="13"/>
      <c r="M28" s="13"/>
      <c r="N28" s="13"/>
      <c r="O28" s="13"/>
      <c r="P28" s="13"/>
      <c r="Q28" s="13"/>
      <c r="R28" s="13"/>
      <c r="S28" s="13"/>
      <c r="T28" s="13"/>
      <c r="U28" s="13"/>
      <c r="V28" s="13"/>
      <c r="W28" s="13"/>
      <c r="X28" s="13"/>
      <c r="Y28" s="13"/>
      <c r="Z28" s="13"/>
      <c r="AA28" s="17"/>
    </row>
    <row r="29" spans="2:27" x14ac:dyDescent="0.25">
      <c r="B29" s="14" t="s">
        <v>61</v>
      </c>
      <c r="C29" s="33" t="s">
        <v>46</v>
      </c>
      <c r="D29" s="71">
        <f>D26+D27</f>
        <v>68200</v>
      </c>
      <c r="E29" s="71">
        <f t="shared" ref="E29:O29" si="10">E26+E27</f>
        <v>68200</v>
      </c>
      <c r="F29" s="71">
        <f t="shared" si="10"/>
        <v>68200</v>
      </c>
      <c r="G29" s="71">
        <f t="shared" si="10"/>
        <v>68200</v>
      </c>
      <c r="H29" s="71">
        <f t="shared" si="10"/>
        <v>68200</v>
      </c>
      <c r="I29" s="71">
        <f t="shared" si="10"/>
        <v>68200</v>
      </c>
      <c r="J29" s="71">
        <f t="shared" si="10"/>
        <v>68200</v>
      </c>
      <c r="K29" s="71">
        <f t="shared" si="10"/>
        <v>68200</v>
      </c>
      <c r="L29" s="71">
        <f t="shared" si="10"/>
        <v>68200</v>
      </c>
      <c r="M29" s="71">
        <f t="shared" si="10"/>
        <v>68200</v>
      </c>
      <c r="N29" s="71">
        <f t="shared" si="10"/>
        <v>68200</v>
      </c>
      <c r="O29" s="71">
        <f t="shared" si="10"/>
        <v>68200</v>
      </c>
      <c r="P29" s="71">
        <f t="shared" ref="P29:AA29" si="11">P26+P27</f>
        <v>71300</v>
      </c>
      <c r="Q29" s="71">
        <f t="shared" si="11"/>
        <v>71300</v>
      </c>
      <c r="R29" s="71">
        <f t="shared" si="11"/>
        <v>71300</v>
      </c>
      <c r="S29" s="71">
        <f t="shared" si="11"/>
        <v>71300</v>
      </c>
      <c r="T29" s="71">
        <f t="shared" si="11"/>
        <v>71300</v>
      </c>
      <c r="U29" s="71">
        <f t="shared" si="11"/>
        <v>71300</v>
      </c>
      <c r="V29" s="71">
        <f t="shared" si="11"/>
        <v>71300</v>
      </c>
      <c r="W29" s="71">
        <f t="shared" si="11"/>
        <v>71300</v>
      </c>
      <c r="X29" s="71">
        <f t="shared" si="11"/>
        <v>71300</v>
      </c>
      <c r="Y29" s="71">
        <f t="shared" si="11"/>
        <v>71300</v>
      </c>
      <c r="Z29" s="71">
        <f t="shared" si="11"/>
        <v>71300</v>
      </c>
      <c r="AA29" s="72">
        <f t="shared" si="11"/>
        <v>71300</v>
      </c>
    </row>
    <row r="30" spans="2:27" x14ac:dyDescent="0.25">
      <c r="B30" s="8"/>
      <c r="C30" s="11"/>
      <c r="D30" s="11"/>
      <c r="E30" s="11"/>
      <c r="F30" s="11"/>
      <c r="G30" s="11"/>
      <c r="H30" s="11"/>
      <c r="I30" s="11"/>
      <c r="J30" s="11"/>
      <c r="K30" s="11"/>
      <c r="L30" s="11"/>
      <c r="M30" s="11"/>
      <c r="N30" s="11"/>
    </row>
    <row r="31" spans="2:27" x14ac:dyDescent="0.25">
      <c r="B31" s="20" t="s">
        <v>62</v>
      </c>
      <c r="C31" s="33" t="s">
        <v>46</v>
      </c>
      <c r="D31" s="15">
        <f>D29+D19+D9</f>
        <v>95850</v>
      </c>
      <c r="E31" s="15">
        <f t="shared" ref="E31:O31" si="12">E29+E19+E9</f>
        <v>97255.2</v>
      </c>
      <c r="F31" s="15">
        <f t="shared" si="12"/>
        <v>98235.4</v>
      </c>
      <c r="G31" s="15">
        <f t="shared" si="12"/>
        <v>99215.6</v>
      </c>
      <c r="H31" s="15">
        <f t="shared" si="12"/>
        <v>100661.6</v>
      </c>
      <c r="I31" s="15">
        <f t="shared" si="12"/>
        <v>101652</v>
      </c>
      <c r="J31" s="15">
        <f t="shared" si="12"/>
        <v>102075.2</v>
      </c>
      <c r="K31" s="15">
        <f t="shared" si="12"/>
        <v>103521.59999999999</v>
      </c>
      <c r="L31" s="15">
        <f t="shared" si="12"/>
        <v>104510.40000000001</v>
      </c>
      <c r="M31" s="15">
        <f t="shared" si="12"/>
        <v>105499.2</v>
      </c>
      <c r="N31" s="15">
        <f t="shared" si="12"/>
        <v>106984</v>
      </c>
      <c r="O31" s="18">
        <f t="shared" si="12"/>
        <v>107982.40000000001</v>
      </c>
      <c r="P31" s="18">
        <f t="shared" ref="P31:AA31" si="13">P29+P19+P9</f>
        <v>103982</v>
      </c>
      <c r="Q31" s="18">
        <f t="shared" si="13"/>
        <v>105260</v>
      </c>
      <c r="R31" s="18">
        <f t="shared" si="13"/>
        <v>106055</v>
      </c>
      <c r="S31" s="18">
        <f t="shared" si="13"/>
        <v>106850</v>
      </c>
      <c r="T31" s="18">
        <f t="shared" si="13"/>
        <v>108164</v>
      </c>
      <c r="U31" s="18">
        <f t="shared" si="13"/>
        <v>108968</v>
      </c>
      <c r="V31" s="18">
        <f t="shared" si="13"/>
        <v>108927.2</v>
      </c>
      <c r="W31" s="18">
        <f t="shared" si="13"/>
        <v>110227.2</v>
      </c>
      <c r="X31" s="18">
        <f t="shared" si="13"/>
        <v>111026</v>
      </c>
      <c r="Y31" s="18">
        <f t="shared" si="13"/>
        <v>111824.8</v>
      </c>
      <c r="Z31" s="18">
        <f t="shared" si="13"/>
        <v>113158.39999999999</v>
      </c>
      <c r="AA31" s="18">
        <f t="shared" si="13"/>
        <v>113965.59999999999</v>
      </c>
    </row>
    <row r="32" spans="2:27" x14ac:dyDescent="0.25">
      <c r="B32" s="61"/>
      <c r="C32" s="65"/>
      <c r="D32" s="65"/>
      <c r="E32" s="65"/>
      <c r="F32" s="65"/>
      <c r="G32" s="65"/>
      <c r="H32" s="65"/>
      <c r="I32" s="65"/>
      <c r="J32" s="65"/>
      <c r="K32" s="65"/>
      <c r="L32" s="65"/>
      <c r="M32" s="65"/>
      <c r="N32" s="65"/>
    </row>
    <row r="33" spans="2:27" x14ac:dyDescent="0.25">
      <c r="B33" s="75" t="s">
        <v>63</v>
      </c>
      <c r="C33" s="76" t="s">
        <v>46</v>
      </c>
      <c r="D33" s="75">
        <f>D21-D29</f>
        <v>-50850</v>
      </c>
      <c r="E33" s="75">
        <f t="shared" ref="E33:O33" si="14">E21-E29</f>
        <v>-48695.199999999997</v>
      </c>
      <c r="F33" s="75">
        <f t="shared" si="14"/>
        <v>-48615.4</v>
      </c>
      <c r="G33" s="75">
        <f t="shared" si="14"/>
        <v>-48535.599999999991</v>
      </c>
      <c r="H33" s="75">
        <f t="shared" si="14"/>
        <v>-46181.600000000006</v>
      </c>
      <c r="I33" s="75">
        <f t="shared" si="14"/>
        <v>-46052</v>
      </c>
      <c r="J33" s="75">
        <f t="shared" si="14"/>
        <v>-45355.200000000012</v>
      </c>
      <c r="K33" s="75">
        <f t="shared" si="14"/>
        <v>-42761.599999999999</v>
      </c>
      <c r="L33" s="75">
        <f t="shared" si="14"/>
        <v>-42570.400000000001</v>
      </c>
      <c r="M33" s="75">
        <f t="shared" si="14"/>
        <v>-42379.200000000012</v>
      </c>
      <c r="N33" s="75">
        <f t="shared" si="14"/>
        <v>-39584</v>
      </c>
      <c r="O33" s="75">
        <f t="shared" si="14"/>
        <v>-39342.400000000001</v>
      </c>
      <c r="P33" s="75">
        <f t="shared" ref="P33:AA33" si="15">P21-P29</f>
        <v>38573.200000000026</v>
      </c>
      <c r="Q33" s="75">
        <f t="shared" si="15"/>
        <v>46516</v>
      </c>
      <c r="R33" s="75">
        <f t="shared" si="15"/>
        <v>48373</v>
      </c>
      <c r="S33" s="75">
        <f t="shared" si="15"/>
        <v>50230</v>
      </c>
      <c r="T33" s="75">
        <f t="shared" si="15"/>
        <v>58626.399999999994</v>
      </c>
      <c r="U33" s="75">
        <f t="shared" si="15"/>
        <v>60596.799999999988</v>
      </c>
      <c r="V33" s="75">
        <f t="shared" si="15"/>
        <v>63412</v>
      </c>
      <c r="W33" s="75">
        <f t="shared" si="15"/>
        <v>72312.000000000029</v>
      </c>
      <c r="X33" s="75">
        <f t="shared" si="15"/>
        <v>74410</v>
      </c>
      <c r="Y33" s="75">
        <f t="shared" si="15"/>
        <v>76507.999999999971</v>
      </c>
      <c r="Z33" s="75">
        <f t="shared" si="15"/>
        <v>85864</v>
      </c>
      <c r="AA33" s="75">
        <f t="shared" si="15"/>
        <v>88076</v>
      </c>
    </row>
    <row r="34" spans="2:27" x14ac:dyDescent="0.25">
      <c r="B34" s="62"/>
      <c r="C34" s="63"/>
      <c r="D34" s="63"/>
      <c r="E34" s="63"/>
      <c r="F34" s="63"/>
      <c r="G34" s="63"/>
      <c r="H34" s="63"/>
      <c r="I34" s="63"/>
      <c r="J34" s="63"/>
      <c r="K34" s="63"/>
      <c r="L34" s="63"/>
      <c r="M34" s="63"/>
      <c r="N34" s="63"/>
    </row>
    <row r="35" spans="2:27" x14ac:dyDescent="0.25">
      <c r="B35" s="20" t="s">
        <v>64</v>
      </c>
      <c r="C35" s="33" t="s">
        <v>46</v>
      </c>
      <c r="D35" s="66" t="str">
        <f>IF(D$33&gt;0,D$33*'COST ASSUMPTIONS'!$D$21,"N/A")</f>
        <v>N/A</v>
      </c>
      <c r="E35" s="66" t="str">
        <f>IF(E$33&gt;0,E$33*'COST ASSUMPTIONS'!$D$21,"N/A")</f>
        <v>N/A</v>
      </c>
      <c r="F35" s="66" t="str">
        <f>IF(F$33&gt;0,F$33*'COST ASSUMPTIONS'!$D$21,"N/A")</f>
        <v>N/A</v>
      </c>
      <c r="G35" s="66" t="str">
        <f>IF(G$33&gt;0,G$33*'COST ASSUMPTIONS'!$D$21,"N/A")</f>
        <v>N/A</v>
      </c>
      <c r="H35" s="66" t="str">
        <f>IF(H$33&gt;0,H$33*'COST ASSUMPTIONS'!$D$21,"N/A")</f>
        <v>N/A</v>
      </c>
      <c r="I35" s="66" t="str">
        <f>IF(I$33&gt;0,I$33*'COST ASSUMPTIONS'!$D$21,"N/A")</f>
        <v>N/A</v>
      </c>
      <c r="J35" s="66" t="str">
        <f>IF(J$33&gt;0,J$33*'COST ASSUMPTIONS'!$D$21,"N/A")</f>
        <v>N/A</v>
      </c>
      <c r="K35" s="66" t="str">
        <f>IF(K$33&gt;0,K$33*'COST ASSUMPTIONS'!$D$21,"N/A")</f>
        <v>N/A</v>
      </c>
      <c r="L35" s="66" t="str">
        <f>IF(L$33&gt;0,L$33*'COST ASSUMPTIONS'!$D$21,"N/A")</f>
        <v>N/A</v>
      </c>
      <c r="M35" s="66" t="str">
        <f>IF(M$33&gt;0,M$33*'COST ASSUMPTIONS'!$D$21,"N/A")</f>
        <v>N/A</v>
      </c>
      <c r="N35" s="66" t="str">
        <f>IF(N$33&gt;0,N$33*'COST ASSUMPTIONS'!$D$21,"N/A")</f>
        <v>N/A</v>
      </c>
      <c r="O35" s="67" t="str">
        <f>IF(O$33&gt;0,O$33*'COST ASSUMPTIONS'!$D$21,"N/A")</f>
        <v>N/A</v>
      </c>
      <c r="P35" s="67">
        <f>IF(P$33&gt;0,P$33*'COST ASSUMPTIONS'!$D$21,"N/A")</f>
        <v>9643.3000000000065</v>
      </c>
      <c r="Q35" s="67">
        <f>IF(Q$33&gt;0,Q$33*'COST ASSUMPTIONS'!$D$21,"N/A")</f>
        <v>11629</v>
      </c>
      <c r="R35" s="67">
        <f>IF(R$33&gt;0,R$33*'COST ASSUMPTIONS'!$D$21,"N/A")</f>
        <v>12093.25</v>
      </c>
      <c r="S35" s="67">
        <f>IF(S$33&gt;0,S$33*'COST ASSUMPTIONS'!$D$21,"N/A")</f>
        <v>12557.5</v>
      </c>
      <c r="T35" s="67">
        <f>IF(T$33&gt;0,T$33*'COST ASSUMPTIONS'!$D$21,"N/A")</f>
        <v>14656.599999999999</v>
      </c>
      <c r="U35" s="67">
        <f>IF(U$33&gt;0,U$33*'COST ASSUMPTIONS'!$D$21,"N/A")</f>
        <v>15149.199999999997</v>
      </c>
      <c r="V35" s="67">
        <f>IF(V$33&gt;0,V$33*'COST ASSUMPTIONS'!$D$21,"N/A")</f>
        <v>15853</v>
      </c>
      <c r="W35" s="67">
        <f>IF(W$33&gt;0,W$33*'COST ASSUMPTIONS'!$D$21,"N/A")</f>
        <v>18078.000000000007</v>
      </c>
      <c r="X35" s="67">
        <f>IF(X$33&gt;0,X$33*'COST ASSUMPTIONS'!$D$21,"N/A")</f>
        <v>18602.5</v>
      </c>
      <c r="Y35" s="67">
        <f>IF(Y$33&gt;0,Y$33*'COST ASSUMPTIONS'!$D$21,"N/A")</f>
        <v>19126.999999999993</v>
      </c>
      <c r="Z35" s="67">
        <f>IF(Z$33&gt;0,Z$33*'COST ASSUMPTIONS'!$D$21,"N/A")</f>
        <v>21466</v>
      </c>
      <c r="AA35" s="67">
        <f>IF(AA$33&gt;0,AA$33*'COST ASSUMPTIONS'!$D$21,"N/A")</f>
        <v>22019</v>
      </c>
    </row>
    <row r="36" spans="2:27" x14ac:dyDescent="0.25">
      <c r="B36" s="61"/>
      <c r="C36" s="64"/>
      <c r="D36" s="64"/>
      <c r="E36" s="64"/>
      <c r="F36" s="64"/>
      <c r="G36" s="64"/>
      <c r="H36" s="64"/>
      <c r="I36" s="64"/>
      <c r="J36" s="64"/>
      <c r="K36" s="64"/>
      <c r="L36" s="64"/>
      <c r="M36" s="64"/>
      <c r="N36" s="64"/>
    </row>
    <row r="37" spans="2:27" x14ac:dyDescent="0.25">
      <c r="B37" s="77" t="s">
        <v>65</v>
      </c>
      <c r="C37" s="78" t="s">
        <v>46</v>
      </c>
      <c r="D37" s="77">
        <f>IFERROR(D33-D35,D33)</f>
        <v>-50850</v>
      </c>
      <c r="E37" s="77">
        <f t="shared" ref="E37:O37" si="16">IFERROR(E33-E35,E33)</f>
        <v>-48695.199999999997</v>
      </c>
      <c r="F37" s="77">
        <f t="shared" si="16"/>
        <v>-48615.4</v>
      </c>
      <c r="G37" s="77">
        <f t="shared" si="16"/>
        <v>-48535.599999999991</v>
      </c>
      <c r="H37" s="77">
        <f t="shared" si="16"/>
        <v>-46181.600000000006</v>
      </c>
      <c r="I37" s="77">
        <f t="shared" si="16"/>
        <v>-46052</v>
      </c>
      <c r="J37" s="77">
        <f t="shared" si="16"/>
        <v>-45355.200000000012</v>
      </c>
      <c r="K37" s="77">
        <f t="shared" si="16"/>
        <v>-42761.599999999999</v>
      </c>
      <c r="L37" s="77">
        <f t="shared" si="16"/>
        <v>-42570.400000000001</v>
      </c>
      <c r="M37" s="77">
        <f t="shared" si="16"/>
        <v>-42379.200000000012</v>
      </c>
      <c r="N37" s="77">
        <f t="shared" si="16"/>
        <v>-39584</v>
      </c>
      <c r="O37" s="77">
        <f t="shared" si="16"/>
        <v>-39342.400000000001</v>
      </c>
      <c r="P37" s="77">
        <f t="shared" ref="P37:AA37" si="17">IFERROR(P33-P35,P33)</f>
        <v>28929.90000000002</v>
      </c>
      <c r="Q37" s="77">
        <f t="shared" si="17"/>
        <v>34887</v>
      </c>
      <c r="R37" s="77">
        <f t="shared" si="17"/>
        <v>36279.75</v>
      </c>
      <c r="S37" s="77">
        <f t="shared" si="17"/>
        <v>37672.5</v>
      </c>
      <c r="T37" s="77">
        <f t="shared" si="17"/>
        <v>43969.799999999996</v>
      </c>
      <c r="U37" s="77">
        <f t="shared" si="17"/>
        <v>45447.599999999991</v>
      </c>
      <c r="V37" s="77">
        <f t="shared" si="17"/>
        <v>47559</v>
      </c>
      <c r="W37" s="77">
        <f t="shared" si="17"/>
        <v>54234.000000000022</v>
      </c>
      <c r="X37" s="77">
        <f t="shared" si="17"/>
        <v>55807.5</v>
      </c>
      <c r="Y37" s="77">
        <f t="shared" si="17"/>
        <v>57380.999999999978</v>
      </c>
      <c r="Z37" s="77">
        <f t="shared" si="17"/>
        <v>64398</v>
      </c>
      <c r="AA37" s="77">
        <f t="shared" si="17"/>
        <v>66057</v>
      </c>
    </row>
    <row r="39" spans="2:27" ht="13.8" customHeight="1" x14ac:dyDescent="0.25">
      <c r="B39" s="95"/>
      <c r="C39" s="87"/>
      <c r="D39" s="96" t="s">
        <v>80</v>
      </c>
      <c r="E39" s="96"/>
      <c r="F39" s="96"/>
      <c r="G39" s="96"/>
      <c r="H39" s="96"/>
      <c r="I39" s="96"/>
      <c r="J39" s="96"/>
      <c r="K39" s="96"/>
      <c r="L39" s="96"/>
      <c r="M39" s="96"/>
      <c r="N39" s="96"/>
      <c r="O39" s="96"/>
      <c r="P39" s="96"/>
      <c r="Q39" s="96"/>
      <c r="R39" s="96"/>
      <c r="S39" s="96"/>
      <c r="T39" s="96"/>
      <c r="U39" s="96"/>
      <c r="V39" s="96"/>
      <c r="W39" s="96"/>
      <c r="X39" s="96"/>
      <c r="Y39" s="96"/>
      <c r="Z39" s="96"/>
      <c r="AA39" s="96"/>
    </row>
    <row r="40" spans="2:27" ht="13.8" customHeight="1" x14ac:dyDescent="0.25">
      <c r="B40" s="95"/>
      <c r="C40" s="87"/>
      <c r="D40" s="96"/>
      <c r="E40" s="96"/>
      <c r="F40" s="96"/>
      <c r="G40" s="96"/>
      <c r="H40" s="96"/>
      <c r="I40" s="96"/>
      <c r="J40" s="96"/>
      <c r="K40" s="96"/>
      <c r="L40" s="96"/>
      <c r="M40" s="96"/>
      <c r="N40" s="96"/>
      <c r="O40" s="96"/>
      <c r="P40" s="96"/>
      <c r="Q40" s="96"/>
      <c r="R40" s="96"/>
      <c r="S40" s="96"/>
      <c r="T40" s="96"/>
      <c r="U40" s="96"/>
      <c r="V40" s="96"/>
      <c r="W40" s="96"/>
      <c r="X40" s="96"/>
      <c r="Y40" s="96"/>
      <c r="Z40" s="96"/>
      <c r="AA40" s="96"/>
    </row>
    <row r="41" spans="2:27" x14ac:dyDescent="0.25">
      <c r="B41" s="8"/>
    </row>
    <row r="42" spans="2:27" x14ac:dyDescent="0.25">
      <c r="B42" s="108" t="str">
        <f>CHOOSE($P$6,NOTES!$C$2,NOTES!$C$19,NOTES!$C$36)</f>
        <v xml:space="preserve">In the base-case scenario, the startup’s revenue shows steady and moderate month-on-month growth over the forecast period. This growth reflects gradual customer acquisition, improving market awareness, and consistent sales performance. Revenue increases at a controlled pace, indicating stable demand and a realistic scaling strategy rather than aggressive expansion.
Additionally, growth is supported by repeat customers and incremental improvements in pricing and distribution. Overall, the revenue trend represents a sustainable and achievable growth path </v>
      </c>
    </row>
    <row r="43" spans="2:27" x14ac:dyDescent="0.25">
      <c r="B43" s="108"/>
    </row>
    <row r="44" spans="2:27" x14ac:dyDescent="0.25">
      <c r="B44" s="108"/>
    </row>
    <row r="45" spans="2:27" x14ac:dyDescent="0.25">
      <c r="B45" s="108"/>
    </row>
    <row r="46" spans="2:27" x14ac:dyDescent="0.25">
      <c r="B46" s="108"/>
    </row>
    <row r="47" spans="2:27" x14ac:dyDescent="0.25">
      <c r="B47" s="108"/>
    </row>
    <row r="48" spans="2:27" x14ac:dyDescent="0.25">
      <c r="B48" s="108"/>
    </row>
    <row r="49" spans="2:27" x14ac:dyDescent="0.25">
      <c r="B49" s="108"/>
    </row>
    <row r="50" spans="2:27" x14ac:dyDescent="0.25">
      <c r="B50" s="108"/>
    </row>
    <row r="51" spans="2:27" x14ac:dyDescent="0.25">
      <c r="B51" s="108"/>
    </row>
    <row r="52" spans="2:27" x14ac:dyDescent="0.25">
      <c r="B52" s="108"/>
    </row>
    <row r="53" spans="2:27" x14ac:dyDescent="0.25">
      <c r="B53" s="108"/>
    </row>
    <row r="54" spans="2:27" x14ac:dyDescent="0.25">
      <c r="B54" s="108"/>
    </row>
    <row r="55" spans="2:27" x14ac:dyDescent="0.25">
      <c r="B55" s="108"/>
    </row>
    <row r="56" spans="2:27" x14ac:dyDescent="0.25">
      <c r="B56" s="108"/>
    </row>
    <row r="57" spans="2:27" x14ac:dyDescent="0.25">
      <c r="B57" s="108"/>
    </row>
    <row r="58" spans="2:27" x14ac:dyDescent="0.25">
      <c r="B58" s="108"/>
    </row>
    <row r="59" spans="2:27" x14ac:dyDescent="0.25">
      <c r="B59" s="8"/>
    </row>
    <row r="60" spans="2:27" ht="13.8" customHeight="1" x14ac:dyDescent="0.25">
      <c r="B60" s="95"/>
      <c r="C60" s="87"/>
      <c r="D60" s="96" t="s">
        <v>81</v>
      </c>
      <c r="E60" s="96"/>
      <c r="F60" s="96"/>
      <c r="G60" s="96"/>
      <c r="H60" s="96"/>
      <c r="I60" s="96"/>
      <c r="J60" s="96"/>
      <c r="K60" s="96"/>
      <c r="L60" s="96"/>
      <c r="M60" s="96"/>
      <c r="N60" s="96"/>
      <c r="O60" s="96"/>
      <c r="P60" s="96"/>
      <c r="Q60" s="96"/>
      <c r="R60" s="96"/>
      <c r="S60" s="96"/>
      <c r="T60" s="96"/>
      <c r="U60" s="96"/>
      <c r="V60" s="96"/>
      <c r="W60" s="96"/>
      <c r="X60" s="96"/>
      <c r="Y60" s="96"/>
      <c r="Z60" s="96"/>
      <c r="AA60" s="96"/>
    </row>
    <row r="61" spans="2:27" ht="13.8" customHeight="1" x14ac:dyDescent="0.25">
      <c r="B61" s="95"/>
      <c r="C61" s="87"/>
      <c r="D61" s="96"/>
      <c r="E61" s="96"/>
      <c r="F61" s="96"/>
      <c r="G61" s="96"/>
      <c r="H61" s="96"/>
      <c r="I61" s="96"/>
      <c r="J61" s="96"/>
      <c r="K61" s="96"/>
      <c r="L61" s="96"/>
      <c r="M61" s="96"/>
      <c r="N61" s="96"/>
      <c r="O61" s="96"/>
      <c r="P61" s="96"/>
      <c r="Q61" s="96"/>
      <c r="R61" s="96"/>
      <c r="S61" s="96"/>
      <c r="T61" s="96"/>
      <c r="U61" s="96"/>
      <c r="V61" s="96"/>
      <c r="W61" s="96"/>
      <c r="X61" s="96"/>
      <c r="Y61" s="96"/>
      <c r="Z61" s="96"/>
      <c r="AA61" s="96"/>
    </row>
    <row r="62" spans="2:27" x14ac:dyDescent="0.25">
      <c r="B62" s="8"/>
    </row>
    <row r="63" spans="2:27" x14ac:dyDescent="0.25">
      <c r="B63" s="108" t="str">
        <f>CHOOSE($P$6,NOTES!$D$2,NOTES!$D$19,NOTES!$D$36)</f>
        <v>In the base-case scenario, total costs rise steadily as the business expands its operations. The increase is primarily driven by variable costs that move in line with revenue growth, such as production, marketing, and operational expenses. Fixed costs remain largely stable, showing effective budgeting and cost discipline.
Furthermore, cost growth remains proportionate to revenue, preventing margin pressure. Overall, the cost structure reflects balanced growth with controlled spending under expected business conditions.</v>
      </c>
    </row>
    <row r="64" spans="2:27" x14ac:dyDescent="0.25">
      <c r="B64" s="108"/>
    </row>
    <row r="65" spans="2:2" x14ac:dyDescent="0.25">
      <c r="B65" s="108"/>
    </row>
    <row r="66" spans="2:2" x14ac:dyDescent="0.25">
      <c r="B66" s="108"/>
    </row>
    <row r="67" spans="2:2" x14ac:dyDescent="0.25">
      <c r="B67" s="108"/>
    </row>
    <row r="68" spans="2:2" x14ac:dyDescent="0.25">
      <c r="B68" s="108"/>
    </row>
    <row r="69" spans="2:2" x14ac:dyDescent="0.25">
      <c r="B69" s="108"/>
    </row>
    <row r="70" spans="2:2" x14ac:dyDescent="0.25">
      <c r="B70" s="108"/>
    </row>
    <row r="71" spans="2:2" x14ac:dyDescent="0.25">
      <c r="B71" s="108"/>
    </row>
    <row r="72" spans="2:2" x14ac:dyDescent="0.25">
      <c r="B72" s="108"/>
    </row>
    <row r="73" spans="2:2" x14ac:dyDescent="0.25">
      <c r="B73" s="108"/>
    </row>
    <row r="74" spans="2:2" x14ac:dyDescent="0.25">
      <c r="B74" s="108"/>
    </row>
    <row r="75" spans="2:2" x14ac:dyDescent="0.25">
      <c r="B75" s="108"/>
    </row>
    <row r="76" spans="2:2" x14ac:dyDescent="0.25">
      <c r="B76" s="108"/>
    </row>
    <row r="77" spans="2:2" x14ac:dyDescent="0.25">
      <c r="B77" s="108"/>
    </row>
    <row r="78" spans="2:2" x14ac:dyDescent="0.25">
      <c r="B78" s="108"/>
    </row>
    <row r="79" spans="2:2" x14ac:dyDescent="0.25">
      <c r="B79" s="108"/>
    </row>
    <row r="80" spans="2:2" x14ac:dyDescent="0.25">
      <c r="B80" s="8"/>
    </row>
    <row r="81" spans="2:27" ht="13.8" customHeight="1" x14ac:dyDescent="0.25">
      <c r="B81" s="95"/>
      <c r="C81" s="87"/>
      <c r="D81" s="96" t="s">
        <v>82</v>
      </c>
      <c r="E81" s="96"/>
      <c r="F81" s="96"/>
      <c r="G81" s="96"/>
      <c r="H81" s="96"/>
      <c r="I81" s="96"/>
      <c r="J81" s="96"/>
      <c r="K81" s="96"/>
      <c r="L81" s="96"/>
      <c r="M81" s="96"/>
      <c r="N81" s="96"/>
      <c r="O81" s="96"/>
      <c r="P81" s="96"/>
      <c r="Q81" s="96"/>
      <c r="R81" s="96"/>
      <c r="S81" s="96"/>
      <c r="T81" s="96"/>
      <c r="U81" s="96"/>
      <c r="V81" s="96"/>
      <c r="W81" s="96"/>
      <c r="X81" s="96"/>
      <c r="Y81" s="96"/>
      <c r="Z81" s="96"/>
      <c r="AA81" s="96"/>
    </row>
    <row r="82" spans="2:27" ht="13.8" customHeight="1" x14ac:dyDescent="0.25">
      <c r="B82" s="95"/>
      <c r="C82" s="87"/>
      <c r="D82" s="96"/>
      <c r="E82" s="96"/>
      <c r="F82" s="96"/>
      <c r="G82" s="96"/>
      <c r="H82" s="96"/>
      <c r="I82" s="96"/>
      <c r="J82" s="96"/>
      <c r="K82" s="96"/>
      <c r="L82" s="96"/>
      <c r="M82" s="96"/>
      <c r="N82" s="96"/>
      <c r="O82" s="96"/>
      <c r="P82" s="96"/>
      <c r="Q82" s="96"/>
      <c r="R82" s="96"/>
      <c r="S82" s="96"/>
      <c r="T82" s="96"/>
      <c r="U82" s="96"/>
      <c r="V82" s="96"/>
      <c r="W82" s="96"/>
      <c r="X82" s="96"/>
      <c r="Y82" s="96"/>
      <c r="Z82" s="96"/>
      <c r="AA82" s="96"/>
    </row>
    <row r="83" spans="2:27" x14ac:dyDescent="0.25">
      <c r="B83" s="8"/>
    </row>
    <row r="84" spans="2:27" x14ac:dyDescent="0.25">
      <c r="B84" s="108" t="str">
        <f>CHOOSE($P$6,NOTES!$E$2,NOTES!$E$19,NOTES!$E$36)</f>
        <v>In the base-case scenario, net income remains negative during the initial periods as the startup continues to invest in growth and operations. As revenues improve and cost efficiency increases, the company reaches breakeven and transitions into positive net income. Profit growth thereafter is gradual, reflecting a cautious and realistic improvement in margins.
Additionally, stable cost control supports consistent profitability in later periods. Overall, the net income trend indicates a financially viable business with sustainable long-term performance in the base-case scenario.</v>
      </c>
    </row>
    <row r="85" spans="2:27" x14ac:dyDescent="0.25">
      <c r="B85" s="108"/>
    </row>
    <row r="86" spans="2:27" x14ac:dyDescent="0.25">
      <c r="B86" s="108"/>
    </row>
    <row r="87" spans="2:27" x14ac:dyDescent="0.25">
      <c r="B87" s="108"/>
    </row>
    <row r="88" spans="2:27" x14ac:dyDescent="0.25">
      <c r="B88" s="108"/>
    </row>
    <row r="89" spans="2:27" x14ac:dyDescent="0.25">
      <c r="B89" s="108"/>
    </row>
    <row r="90" spans="2:27" x14ac:dyDescent="0.25">
      <c r="B90" s="108"/>
    </row>
    <row r="91" spans="2:27" x14ac:dyDescent="0.25">
      <c r="B91" s="108"/>
    </row>
    <row r="92" spans="2:27" x14ac:dyDescent="0.25">
      <c r="B92" s="108"/>
    </row>
    <row r="93" spans="2:27" x14ac:dyDescent="0.25">
      <c r="B93" s="108"/>
    </row>
    <row r="94" spans="2:27" x14ac:dyDescent="0.25">
      <c r="B94" s="108"/>
    </row>
    <row r="95" spans="2:27" x14ac:dyDescent="0.25">
      <c r="B95" s="108"/>
    </row>
    <row r="96" spans="2:27" x14ac:dyDescent="0.25">
      <c r="B96" s="108"/>
    </row>
    <row r="97" spans="2:27" x14ac:dyDescent="0.25">
      <c r="B97" s="108"/>
    </row>
    <row r="98" spans="2:27" x14ac:dyDescent="0.25">
      <c r="B98" s="108"/>
    </row>
    <row r="99" spans="2:27" x14ac:dyDescent="0.25">
      <c r="B99" s="108"/>
    </row>
    <row r="100" spans="2:27" x14ac:dyDescent="0.25">
      <c r="B100" s="108"/>
    </row>
    <row r="102" spans="2:27" x14ac:dyDescent="0.25">
      <c r="B102" s="106" t="s">
        <v>109</v>
      </c>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row>
    <row r="104" spans="2:27" x14ac:dyDescent="0.25">
      <c r="B104" s="107" t="s">
        <v>113</v>
      </c>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row>
    <row r="105" spans="2:27" x14ac:dyDescent="0.25">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row>
    <row r="106" spans="2:27" ht="13.8" customHeight="1" x14ac:dyDescent="0.25">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row>
    <row r="107" spans="2:27" x14ac:dyDescent="0.25">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row>
    <row r="108" spans="2:27" x14ac:dyDescent="0.25">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row>
    <row r="109" spans="2:27" x14ac:dyDescent="0.25">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row>
    <row r="110" spans="2:27" x14ac:dyDescent="0.25">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row>
    <row r="111" spans="2:27" x14ac:dyDescent="0.25">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row>
    <row r="112" spans="2:27" x14ac:dyDescent="0.25">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row>
    <row r="113" spans="2:27" x14ac:dyDescent="0.25">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row>
    <row r="114" spans="2:27" x14ac:dyDescent="0.25">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row>
    <row r="115" spans="2:27" x14ac:dyDescent="0.25">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row>
    <row r="116" spans="2:27" x14ac:dyDescent="0.25">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row>
    <row r="118" spans="2:27" x14ac:dyDescent="0.2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sheetData>
  <mergeCells count="12">
    <mergeCell ref="B102:AA102"/>
    <mergeCell ref="B104:AA116"/>
    <mergeCell ref="D1:AA3"/>
    <mergeCell ref="B1:C4"/>
    <mergeCell ref="B42:B58"/>
    <mergeCell ref="B63:B79"/>
    <mergeCell ref="B84:B100"/>
    <mergeCell ref="D39:AA40"/>
    <mergeCell ref="D60:AA61"/>
    <mergeCell ref="D81:AA82"/>
    <mergeCell ref="P6:AA6"/>
    <mergeCell ref="D6:O6"/>
  </mergeCells>
  <printOptions horizontalCentered="1"/>
  <pageMargins left="0" right="0" top="0" bottom="0" header="0" footer="0"/>
  <pageSetup paperSize="9" scale="35" orientation="landscape" horizontalDpi="1200" verticalDpi="1200" r:id="rId1"/>
  <colBreaks count="1" manualBreakCount="1">
    <brk id="15" max="117"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51"/>
  <sheetViews>
    <sheetView workbookViewId="0"/>
  </sheetViews>
  <sheetFormatPr defaultRowHeight="14.4" x14ac:dyDescent="0.3"/>
  <cols>
    <col min="1" max="1" width="2" style="90" customWidth="1"/>
    <col min="2" max="2" width="8.88671875" style="90"/>
    <col min="3" max="5" width="35.77734375" style="90" customWidth="1"/>
    <col min="6" max="16384" width="8.88671875" style="90"/>
  </cols>
  <sheetData>
    <row r="1" spans="2:5" x14ac:dyDescent="0.3">
      <c r="C1" s="90" t="s">
        <v>80</v>
      </c>
      <c r="D1" s="90" t="s">
        <v>89</v>
      </c>
      <c r="E1" s="90" t="s">
        <v>82</v>
      </c>
    </row>
    <row r="2" spans="2:5" x14ac:dyDescent="0.3">
      <c r="C2" s="110" t="s">
        <v>97</v>
      </c>
      <c r="D2" s="110" t="s">
        <v>98</v>
      </c>
      <c r="E2" s="110" t="s">
        <v>99</v>
      </c>
    </row>
    <row r="3" spans="2:5" x14ac:dyDescent="0.3">
      <c r="C3" s="110"/>
      <c r="D3" s="111"/>
      <c r="E3" s="111"/>
    </row>
    <row r="4" spans="2:5" x14ac:dyDescent="0.3">
      <c r="C4" s="110"/>
      <c r="D4" s="111"/>
      <c r="E4" s="111"/>
    </row>
    <row r="5" spans="2:5" x14ac:dyDescent="0.3">
      <c r="C5" s="110"/>
      <c r="D5" s="111"/>
      <c r="E5" s="111"/>
    </row>
    <row r="6" spans="2:5" x14ac:dyDescent="0.3">
      <c r="C6" s="110"/>
      <c r="D6" s="111"/>
      <c r="E6" s="111"/>
    </row>
    <row r="7" spans="2:5" x14ac:dyDescent="0.3">
      <c r="C7" s="110"/>
      <c r="D7" s="111"/>
      <c r="E7" s="111"/>
    </row>
    <row r="8" spans="2:5" x14ac:dyDescent="0.3">
      <c r="C8" s="110"/>
      <c r="D8" s="111"/>
      <c r="E8" s="111"/>
    </row>
    <row r="9" spans="2:5" x14ac:dyDescent="0.3">
      <c r="B9" s="90" t="s">
        <v>90</v>
      </c>
      <c r="C9" s="110"/>
      <c r="D9" s="111"/>
      <c r="E9" s="111"/>
    </row>
    <row r="10" spans="2:5" x14ac:dyDescent="0.3">
      <c r="C10" s="110"/>
      <c r="D10" s="111"/>
      <c r="E10" s="111"/>
    </row>
    <row r="11" spans="2:5" x14ac:dyDescent="0.3">
      <c r="C11" s="110"/>
      <c r="D11" s="111"/>
      <c r="E11" s="111"/>
    </row>
    <row r="12" spans="2:5" x14ac:dyDescent="0.3">
      <c r="C12" s="110"/>
      <c r="D12" s="111"/>
      <c r="E12" s="111"/>
    </row>
    <row r="13" spans="2:5" x14ac:dyDescent="0.3">
      <c r="C13" s="110"/>
      <c r="D13" s="111"/>
      <c r="E13" s="111"/>
    </row>
    <row r="14" spans="2:5" x14ac:dyDescent="0.3">
      <c r="C14" s="110"/>
      <c r="D14" s="111"/>
      <c r="E14" s="111"/>
    </row>
    <row r="15" spans="2:5" x14ac:dyDescent="0.3">
      <c r="C15" s="110"/>
      <c r="D15" s="111"/>
      <c r="E15" s="111"/>
    </row>
    <row r="16" spans="2:5" x14ac:dyDescent="0.3">
      <c r="C16" s="110"/>
      <c r="D16" s="111"/>
      <c r="E16" s="111"/>
    </row>
    <row r="17" spans="2:5" x14ac:dyDescent="0.3">
      <c r="C17" s="110"/>
      <c r="D17" s="111"/>
      <c r="E17" s="111"/>
    </row>
    <row r="19" spans="2:5" x14ac:dyDescent="0.3">
      <c r="C19" s="112" t="s">
        <v>100</v>
      </c>
      <c r="D19" s="110" t="s">
        <v>93</v>
      </c>
      <c r="E19" s="110" t="s">
        <v>94</v>
      </c>
    </row>
    <row r="20" spans="2:5" x14ac:dyDescent="0.3">
      <c r="C20" s="113"/>
      <c r="D20" s="111"/>
      <c r="E20" s="111"/>
    </row>
    <row r="21" spans="2:5" x14ac:dyDescent="0.3">
      <c r="C21" s="113"/>
      <c r="D21" s="111"/>
      <c r="E21" s="111"/>
    </row>
    <row r="22" spans="2:5" x14ac:dyDescent="0.3">
      <c r="C22" s="113"/>
      <c r="D22" s="111"/>
      <c r="E22" s="111"/>
    </row>
    <row r="23" spans="2:5" x14ac:dyDescent="0.3">
      <c r="C23" s="113"/>
      <c r="D23" s="111"/>
      <c r="E23" s="111"/>
    </row>
    <row r="24" spans="2:5" x14ac:dyDescent="0.3">
      <c r="C24" s="113"/>
      <c r="D24" s="111"/>
      <c r="E24" s="111"/>
    </row>
    <row r="25" spans="2:5" x14ac:dyDescent="0.3">
      <c r="C25" s="113"/>
      <c r="D25" s="111"/>
      <c r="E25" s="111"/>
    </row>
    <row r="26" spans="2:5" x14ac:dyDescent="0.3">
      <c r="B26" s="90" t="s">
        <v>91</v>
      </c>
      <c r="C26" s="113"/>
      <c r="D26" s="111"/>
      <c r="E26" s="111"/>
    </row>
    <row r="27" spans="2:5" x14ac:dyDescent="0.3">
      <c r="C27" s="113"/>
      <c r="D27" s="111"/>
      <c r="E27" s="111"/>
    </row>
    <row r="28" spans="2:5" x14ac:dyDescent="0.3">
      <c r="C28" s="113"/>
      <c r="D28" s="111"/>
      <c r="E28" s="111"/>
    </row>
    <row r="29" spans="2:5" x14ac:dyDescent="0.3">
      <c r="C29" s="113"/>
      <c r="D29" s="111"/>
      <c r="E29" s="111"/>
    </row>
    <row r="30" spans="2:5" x14ac:dyDescent="0.3">
      <c r="C30" s="113"/>
      <c r="D30" s="111"/>
      <c r="E30" s="111"/>
    </row>
    <row r="31" spans="2:5" x14ac:dyDescent="0.3">
      <c r="C31" s="113"/>
      <c r="D31" s="111"/>
      <c r="E31" s="111"/>
    </row>
    <row r="32" spans="2:5" x14ac:dyDescent="0.3">
      <c r="C32" s="113"/>
      <c r="D32" s="111"/>
      <c r="E32" s="111"/>
    </row>
    <row r="33" spans="2:5" x14ac:dyDescent="0.3">
      <c r="C33" s="113"/>
      <c r="D33" s="111"/>
      <c r="E33" s="111"/>
    </row>
    <row r="34" spans="2:5" x14ac:dyDescent="0.3">
      <c r="C34" s="113"/>
      <c r="D34" s="111"/>
      <c r="E34" s="111"/>
    </row>
    <row r="36" spans="2:5" x14ac:dyDescent="0.3">
      <c r="C36" s="110" t="s">
        <v>101</v>
      </c>
      <c r="D36" s="110" t="s">
        <v>95</v>
      </c>
      <c r="E36" s="110" t="s">
        <v>96</v>
      </c>
    </row>
    <row r="37" spans="2:5" x14ac:dyDescent="0.3">
      <c r="C37" s="111"/>
      <c r="D37" s="111"/>
      <c r="E37" s="111"/>
    </row>
    <row r="38" spans="2:5" x14ac:dyDescent="0.3">
      <c r="C38" s="111"/>
      <c r="D38" s="111"/>
      <c r="E38" s="111"/>
    </row>
    <row r="39" spans="2:5" x14ac:dyDescent="0.3">
      <c r="C39" s="111"/>
      <c r="D39" s="111"/>
      <c r="E39" s="111"/>
    </row>
    <row r="40" spans="2:5" x14ac:dyDescent="0.3">
      <c r="C40" s="111"/>
      <c r="D40" s="111"/>
      <c r="E40" s="111"/>
    </row>
    <row r="41" spans="2:5" x14ac:dyDescent="0.3">
      <c r="C41" s="111"/>
      <c r="D41" s="111"/>
      <c r="E41" s="111"/>
    </row>
    <row r="42" spans="2:5" x14ac:dyDescent="0.3">
      <c r="B42" s="90" t="s">
        <v>92</v>
      </c>
      <c r="C42" s="111"/>
      <c r="D42" s="111"/>
      <c r="E42" s="111"/>
    </row>
    <row r="43" spans="2:5" x14ac:dyDescent="0.3">
      <c r="C43" s="111"/>
      <c r="D43" s="111"/>
      <c r="E43" s="111"/>
    </row>
    <row r="44" spans="2:5" x14ac:dyDescent="0.3">
      <c r="C44" s="111"/>
      <c r="D44" s="111"/>
      <c r="E44" s="111"/>
    </row>
    <row r="45" spans="2:5" x14ac:dyDescent="0.3">
      <c r="C45" s="111"/>
      <c r="D45" s="111"/>
      <c r="E45" s="111"/>
    </row>
    <row r="46" spans="2:5" x14ac:dyDescent="0.3">
      <c r="C46" s="111"/>
      <c r="D46" s="111"/>
      <c r="E46" s="111"/>
    </row>
    <row r="47" spans="2:5" x14ac:dyDescent="0.3">
      <c r="C47" s="111"/>
      <c r="D47" s="111"/>
      <c r="E47" s="111"/>
    </row>
    <row r="48" spans="2:5" x14ac:dyDescent="0.3">
      <c r="C48" s="111"/>
      <c r="D48" s="111"/>
      <c r="E48" s="111"/>
    </row>
    <row r="49" spans="3:5" x14ac:dyDescent="0.3">
      <c r="C49" s="111"/>
      <c r="D49" s="111"/>
      <c r="E49" s="111"/>
    </row>
    <row r="50" spans="3:5" x14ac:dyDescent="0.3">
      <c r="C50" s="111"/>
      <c r="D50" s="111"/>
      <c r="E50" s="111"/>
    </row>
    <row r="51" spans="3:5" x14ac:dyDescent="0.3">
      <c r="C51" s="111"/>
      <c r="D51" s="111"/>
      <c r="E51" s="111"/>
    </row>
  </sheetData>
  <mergeCells count="9">
    <mergeCell ref="C36:C51"/>
    <mergeCell ref="D36:D51"/>
    <mergeCell ref="E36:E51"/>
    <mergeCell ref="C2:C17"/>
    <mergeCell ref="D2:D17"/>
    <mergeCell ref="E2:E17"/>
    <mergeCell ref="C19:C34"/>
    <mergeCell ref="D19:D34"/>
    <mergeCell ref="E19:E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REVENUE ASSUMPTIONS</vt:lpstr>
      <vt:lpstr>COST ASSUMPTIONS</vt:lpstr>
      <vt:lpstr>INCOME STATEMENT</vt:lpstr>
      <vt:lpstr>NOTES</vt:lpstr>
      <vt:lpstr>'COST ASSUMPTIONS'!Print_Area</vt:lpstr>
      <vt:lpstr>'INCOME STATEMENT'!Print_Area</vt:lpstr>
      <vt:lpstr>'REVENUE ASSUMPTIONS'!Print_Area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Wagh</dc:creator>
  <cp:lastModifiedBy>Swati Wagh</cp:lastModifiedBy>
  <cp:lastPrinted>2026-01-31T07:07:38Z</cp:lastPrinted>
  <dcterms:created xsi:type="dcterms:W3CDTF">2026-01-28T15:45:20Z</dcterms:created>
  <dcterms:modified xsi:type="dcterms:W3CDTF">2026-01-31T07:07:55Z</dcterms:modified>
</cp:coreProperties>
</file>