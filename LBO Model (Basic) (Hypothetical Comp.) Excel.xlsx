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wati\Downloads\"/>
    </mc:Choice>
  </mc:AlternateContent>
  <xr:revisionPtr revIDLastSave="0" documentId="13_ncr:1_{58F2110C-880C-42AF-8BB1-862999AFA4B4}" xr6:coauthVersionLast="47" xr6:coauthVersionMax="47" xr10:uidLastSave="{00000000-0000-0000-0000-000000000000}"/>
  <bookViews>
    <workbookView xWindow="-108" yWindow="-108" windowWidth="23256" windowHeight="13896" firstSheet="1" activeTab="1" xr2:uid="{010D5DDD-8D71-47D3-9D91-2C95B8FA5521}"/>
  </bookViews>
  <sheets>
    <sheet name="LBO MODEL" sheetId="2" state="hidden" r:id="rId1"/>
    <sheet name="TASK 1" sheetId="4" r:id="rId2"/>
    <sheet name="LBO" sheetId="3" r:id="rId3"/>
  </sheets>
  <definedNames>
    <definedName name="_xlnm.Print_Area" localSheetId="2">LBO!$B$1:$X$136</definedName>
    <definedName name="_xlnm.Print_Area" localSheetId="0">'LBO MODEL'!$B$3:$R$119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 i="3" l="1"/>
  <c r="X125" i="3"/>
  <c r="S113" i="3"/>
  <c r="T109" i="3" s="1"/>
  <c r="T110" i="3" s="1"/>
  <c r="S106" i="3"/>
  <c r="T102" i="3" s="1"/>
  <c r="T103" i="3" s="1"/>
  <c r="X63" i="3"/>
  <c r="W63" i="3"/>
  <c r="V63" i="3"/>
  <c r="U63" i="3"/>
  <c r="T63" i="3"/>
  <c r="S78" i="3"/>
  <c r="S73" i="3"/>
  <c r="V26" i="3"/>
  <c r="V23" i="3"/>
  <c r="H25" i="3"/>
  <c r="H24" i="3"/>
  <c r="H23" i="3"/>
  <c r="S99" i="3" s="1"/>
  <c r="T95" i="3" s="1"/>
  <c r="S51" i="3"/>
  <c r="S70" i="3" s="1"/>
  <c r="S45" i="3"/>
  <c r="S39" i="3"/>
  <c r="T37" i="3"/>
  <c r="V37" i="3" s="1"/>
  <c r="S36" i="3"/>
  <c r="R11" i="2"/>
  <c r="R119" i="2"/>
  <c r="R118" i="2"/>
  <c r="R116" i="2"/>
  <c r="R114" i="2"/>
  <c r="R112" i="2"/>
  <c r="R111" i="2"/>
  <c r="R110" i="2"/>
  <c r="R109" i="2"/>
  <c r="N49" i="2"/>
  <c r="N102" i="2"/>
  <c r="N101" i="2"/>
  <c r="M105" i="2"/>
  <c r="N95" i="2"/>
  <c r="N94" i="2"/>
  <c r="M98" i="2"/>
  <c r="N88" i="2"/>
  <c r="N87" i="2"/>
  <c r="M91" i="2"/>
  <c r="R55" i="2"/>
  <c r="Q55" i="2"/>
  <c r="P55" i="2"/>
  <c r="O55" i="2"/>
  <c r="N55" i="2"/>
  <c r="M70" i="2"/>
  <c r="M65" i="2"/>
  <c r="M62" i="2"/>
  <c r="M43" i="2"/>
  <c r="M46" i="2" s="1"/>
  <c r="R41" i="2"/>
  <c r="Q41" i="2"/>
  <c r="P41" i="2"/>
  <c r="O41" i="2"/>
  <c r="N41" i="2"/>
  <c r="M40" i="2"/>
  <c r="N40" i="2" s="1"/>
  <c r="P32" i="2"/>
  <c r="Q32" i="2" s="1"/>
  <c r="G29" i="2"/>
  <c r="F29" i="2" s="1"/>
  <c r="G28" i="2"/>
  <c r="P28" i="2"/>
  <c r="Q28" i="2" s="1"/>
  <c r="G7" i="2"/>
  <c r="G9" i="2" s="1"/>
  <c r="S74" i="3" l="1"/>
  <c r="V74" i="3" s="1"/>
  <c r="S79" i="3"/>
  <c r="X79" i="3" s="1"/>
  <c r="S42" i="3"/>
  <c r="S43" i="3" s="1"/>
  <c r="T96" i="3"/>
  <c r="T117" i="3" s="1"/>
  <c r="T57" i="3" s="1"/>
  <c r="T116" i="3"/>
  <c r="X74" i="3"/>
  <c r="W74" i="3"/>
  <c r="S120" i="3"/>
  <c r="W37" i="3"/>
  <c r="X37" i="3"/>
  <c r="T36" i="3"/>
  <c r="S40" i="3"/>
  <c r="X40" i="3" s="1"/>
  <c r="S46" i="3"/>
  <c r="X46" i="3" s="1"/>
  <c r="S52" i="3"/>
  <c r="H26" i="3"/>
  <c r="U37" i="3"/>
  <c r="M47" i="2"/>
  <c r="M63" i="2"/>
  <c r="M66" i="2"/>
  <c r="M71" i="2"/>
  <c r="R71" i="2" s="1"/>
  <c r="P63" i="2"/>
  <c r="O63" i="2"/>
  <c r="N63" i="2"/>
  <c r="N62" i="2" s="1"/>
  <c r="N76" i="2" s="1"/>
  <c r="R63" i="2"/>
  <c r="Q63" i="2"/>
  <c r="R66" i="2"/>
  <c r="Q66" i="2"/>
  <c r="N66" i="2"/>
  <c r="N65" i="2" s="1"/>
  <c r="N68" i="2" s="1"/>
  <c r="N78" i="2" s="1"/>
  <c r="P66" i="2"/>
  <c r="O66" i="2"/>
  <c r="O40" i="2"/>
  <c r="M44" i="2"/>
  <c r="N44" i="2" s="1"/>
  <c r="O44" i="2" s="1"/>
  <c r="P44" i="2" s="1"/>
  <c r="Q44" i="2" s="1"/>
  <c r="R44" i="2" s="1"/>
  <c r="G11" i="2"/>
  <c r="P29" i="2" s="1"/>
  <c r="G30" i="2"/>
  <c r="F28" i="2"/>
  <c r="S48" i="3" l="1"/>
  <c r="T79" i="3"/>
  <c r="T78" i="3" s="1"/>
  <c r="T85" i="3" s="1"/>
  <c r="U79" i="3"/>
  <c r="V79" i="3"/>
  <c r="W79" i="3"/>
  <c r="T74" i="3"/>
  <c r="T73" i="3" s="1"/>
  <c r="T76" i="3" s="1"/>
  <c r="T86" i="3" s="1"/>
  <c r="U74" i="3"/>
  <c r="X52" i="3"/>
  <c r="X71" i="3" s="1"/>
  <c r="S71" i="3"/>
  <c r="U36" i="3"/>
  <c r="T52" i="3"/>
  <c r="U52" i="3"/>
  <c r="V52" i="3"/>
  <c r="V71" i="3" s="1"/>
  <c r="W52" i="3"/>
  <c r="W71" i="3" s="1"/>
  <c r="T46" i="3"/>
  <c r="T45" i="3" s="1"/>
  <c r="U46" i="3"/>
  <c r="V46" i="3"/>
  <c r="W46" i="3"/>
  <c r="T40" i="3"/>
  <c r="T39" i="3" s="1"/>
  <c r="T42" i="3" s="1"/>
  <c r="T43" i="3" s="1"/>
  <c r="U40" i="3"/>
  <c r="V40" i="3"/>
  <c r="W40" i="3"/>
  <c r="N5" i="3"/>
  <c r="S49" i="3"/>
  <c r="S54" i="3"/>
  <c r="S55" i="3" s="1"/>
  <c r="N43" i="2"/>
  <c r="N71" i="2"/>
  <c r="N70" i="2" s="1"/>
  <c r="N77" i="2" s="1"/>
  <c r="O71" i="2"/>
  <c r="O70" i="2" s="1"/>
  <c r="O77" i="2" s="1"/>
  <c r="P71" i="2"/>
  <c r="Q71" i="2"/>
  <c r="O65" i="2"/>
  <c r="O68" i="2" s="1"/>
  <c r="O78" i="2" s="1"/>
  <c r="O43" i="2"/>
  <c r="P40" i="2"/>
  <c r="O62" i="2"/>
  <c r="O76" i="2" s="1"/>
  <c r="N46" i="2"/>
  <c r="P34" i="2"/>
  <c r="R28" i="2" s="1"/>
  <c r="Q29" i="2"/>
  <c r="Q34" i="2" s="1"/>
  <c r="G34" i="2"/>
  <c r="F30" i="2"/>
  <c r="U73" i="3" l="1"/>
  <c r="U76" i="3" s="1"/>
  <c r="U86" i="3" s="1"/>
  <c r="U78" i="3"/>
  <c r="U85" i="3" s="1"/>
  <c r="W23" i="3"/>
  <c r="W26" i="3"/>
  <c r="V36" i="3"/>
  <c r="U39" i="3"/>
  <c r="U42" i="3" s="1"/>
  <c r="U43" i="3" s="1"/>
  <c r="U45" i="3"/>
  <c r="U51" i="3"/>
  <c r="U70" i="3" s="1"/>
  <c r="U84" i="3" s="1"/>
  <c r="U71" i="3"/>
  <c r="T51" i="3"/>
  <c r="T70" i="3" s="1"/>
  <c r="T84" i="3" s="1"/>
  <c r="T71" i="3"/>
  <c r="T48" i="3"/>
  <c r="N7" i="3"/>
  <c r="N9" i="3" s="1"/>
  <c r="V24" i="3" s="1"/>
  <c r="I23" i="3"/>
  <c r="I24" i="3"/>
  <c r="I25" i="3"/>
  <c r="T49" i="3"/>
  <c r="T54" i="3"/>
  <c r="R29" i="2"/>
  <c r="R32" i="2"/>
  <c r="R34" i="2"/>
  <c r="F34" i="2"/>
  <c r="H34" i="2" s="1"/>
  <c r="N47" i="2"/>
  <c r="N51" i="2"/>
  <c r="P65" i="2"/>
  <c r="P68" i="2" s="1"/>
  <c r="P78" i="2" s="1"/>
  <c r="P70" i="2"/>
  <c r="P77" i="2" s="1"/>
  <c r="P43" i="2"/>
  <c r="P62" i="2"/>
  <c r="P76" i="2" s="1"/>
  <c r="Q40" i="2"/>
  <c r="O46" i="2"/>
  <c r="H30" i="2"/>
  <c r="F32" i="2"/>
  <c r="T55" i="3" l="1"/>
  <c r="T59" i="3"/>
  <c r="V73" i="3"/>
  <c r="V76" i="3" s="1"/>
  <c r="V86" i="3" s="1"/>
  <c r="V78" i="3"/>
  <c r="V85" i="3" s="1"/>
  <c r="V51" i="3"/>
  <c r="V70" i="3" s="1"/>
  <c r="V84" i="3" s="1"/>
  <c r="V39" i="3"/>
  <c r="V42" i="3" s="1"/>
  <c r="V43" i="3" s="1"/>
  <c r="V45" i="3"/>
  <c r="W36" i="3"/>
  <c r="X36" i="3" s="1"/>
  <c r="W24" i="3"/>
  <c r="W30" i="3" s="1"/>
  <c r="V30" i="3"/>
  <c r="U48" i="3"/>
  <c r="U49" i="3" s="1"/>
  <c r="I26" i="3"/>
  <c r="H28" i="2"/>
  <c r="H29" i="2"/>
  <c r="Q65" i="2"/>
  <c r="Q68" i="2" s="1"/>
  <c r="Q78" i="2" s="1"/>
  <c r="Q70" i="2"/>
  <c r="Q77" i="2" s="1"/>
  <c r="Q43" i="2"/>
  <c r="Q62" i="2"/>
  <c r="Q76" i="2" s="1"/>
  <c r="R40" i="2"/>
  <c r="O47" i="2"/>
  <c r="P46" i="2"/>
  <c r="N54" i="2"/>
  <c r="N57" i="2" s="1"/>
  <c r="N52" i="2"/>
  <c r="G32" i="2"/>
  <c r="H32" i="2"/>
  <c r="W45" i="3" l="1"/>
  <c r="V48" i="3"/>
  <c r="V49" i="3" s="1"/>
  <c r="X73" i="3"/>
  <c r="X78" i="3"/>
  <c r="X85" i="3" s="1"/>
  <c r="H30" i="3"/>
  <c r="X23" i="3"/>
  <c r="X26" i="3"/>
  <c r="X24" i="3"/>
  <c r="W73" i="3"/>
  <c r="W76" i="3" s="1"/>
  <c r="W86" i="3" s="1"/>
  <c r="W78" i="3"/>
  <c r="W85" i="3" s="1"/>
  <c r="U54" i="3"/>
  <c r="U55" i="3" s="1"/>
  <c r="W51" i="3"/>
  <c r="W70" i="3" s="1"/>
  <c r="W84" i="3" s="1"/>
  <c r="T60" i="3"/>
  <c r="T62" i="3"/>
  <c r="T65" i="3" s="1"/>
  <c r="W39" i="3"/>
  <c r="W42" i="3" s="1"/>
  <c r="X45" i="3"/>
  <c r="X39" i="3"/>
  <c r="X42" i="3"/>
  <c r="X51" i="3"/>
  <c r="X70" i="3" s="1"/>
  <c r="X84" i="3" s="1"/>
  <c r="N75" i="2"/>
  <c r="N80" i="2" s="1"/>
  <c r="N58" i="2"/>
  <c r="P47" i="2"/>
  <c r="R65" i="2"/>
  <c r="R68" i="2" s="1"/>
  <c r="R78" i="2" s="1"/>
  <c r="R70" i="2"/>
  <c r="R77" i="2" s="1"/>
  <c r="R43" i="2"/>
  <c r="R62" i="2"/>
  <c r="R76" i="2" s="1"/>
  <c r="Q46" i="2"/>
  <c r="V54" i="3" l="1"/>
  <c r="V55" i="3" s="1"/>
  <c r="W43" i="3"/>
  <c r="W48" i="3"/>
  <c r="W49" i="3" s="1"/>
  <c r="T66" i="3"/>
  <c r="T83" i="3"/>
  <c r="T88" i="3" s="1"/>
  <c r="X30" i="3"/>
  <c r="J25" i="3"/>
  <c r="J24" i="3"/>
  <c r="J23" i="3"/>
  <c r="I30" i="3"/>
  <c r="H28" i="3"/>
  <c r="J26" i="3"/>
  <c r="X76" i="3"/>
  <c r="X86" i="3" s="1"/>
  <c r="X43" i="3"/>
  <c r="X48" i="3"/>
  <c r="X124" i="3" s="1"/>
  <c r="X126" i="3" s="1"/>
  <c r="N89" i="2"/>
  <c r="N96" i="2" s="1"/>
  <c r="N98" i="2" s="1"/>
  <c r="O94" i="2" s="1"/>
  <c r="Q47" i="2"/>
  <c r="R46" i="2"/>
  <c r="W54" i="3" l="1"/>
  <c r="W55" i="3" s="1"/>
  <c r="X131" i="3"/>
  <c r="J28" i="3"/>
  <c r="I28" i="3"/>
  <c r="T97" i="3"/>
  <c r="T104" i="3" s="1"/>
  <c r="T106" i="3" s="1"/>
  <c r="U102" i="3" s="1"/>
  <c r="U103" i="3" s="1"/>
  <c r="X49" i="3"/>
  <c r="X54" i="3"/>
  <c r="X55" i="3" s="1"/>
  <c r="O95" i="2"/>
  <c r="N91" i="2"/>
  <c r="N103" i="2"/>
  <c r="R47" i="2"/>
  <c r="T111" i="3" l="1"/>
  <c r="T113" i="3" s="1"/>
  <c r="U109" i="3" s="1"/>
  <c r="U110" i="3" s="1"/>
  <c r="T99" i="3"/>
  <c r="U95" i="3" s="1"/>
  <c r="O87" i="2"/>
  <c r="N105" i="2"/>
  <c r="T118" i="3" l="1"/>
  <c r="T120" i="3" s="1"/>
  <c r="U116" i="3"/>
  <c r="U96" i="3"/>
  <c r="U117" i="3" s="1"/>
  <c r="U57" i="3" s="1"/>
  <c r="U59" i="3" s="1"/>
  <c r="O88" i="2"/>
  <c r="O102" i="2" s="1"/>
  <c r="O49" i="2" s="1"/>
  <c r="O51" i="2" s="1"/>
  <c r="O101" i="2"/>
  <c r="U62" i="3" l="1"/>
  <c r="U65" i="3" s="1"/>
  <c r="U60" i="3"/>
  <c r="O52" i="2"/>
  <c r="O54" i="2"/>
  <c r="O57" i="2" s="1"/>
  <c r="U83" i="3" l="1"/>
  <c r="U88" i="3" s="1"/>
  <c r="U66" i="3"/>
  <c r="O75" i="2"/>
  <c r="O80" i="2" s="1"/>
  <c r="O58" i="2"/>
  <c r="U97" i="3" l="1"/>
  <c r="U104" i="3" s="1"/>
  <c r="U106" i="3" s="1"/>
  <c r="V102" i="3" s="1"/>
  <c r="V103" i="3" s="1"/>
  <c r="O89" i="2"/>
  <c r="O96" i="2"/>
  <c r="O98" i="2" s="1"/>
  <c r="P94" i="2" s="1"/>
  <c r="P95" i="2" s="1"/>
  <c r="U111" i="3" l="1"/>
  <c r="U113" i="3" s="1"/>
  <c r="V109" i="3" s="1"/>
  <c r="V110" i="3" s="1"/>
  <c r="U99" i="3"/>
  <c r="V95" i="3" s="1"/>
  <c r="O91" i="2"/>
  <c r="O103" i="2"/>
  <c r="U118" i="3" l="1"/>
  <c r="U120" i="3" s="1"/>
  <c r="V96" i="3"/>
  <c r="V117" i="3" s="1"/>
  <c r="V57" i="3" s="1"/>
  <c r="V59" i="3" s="1"/>
  <c r="V116" i="3"/>
  <c r="P87" i="2"/>
  <c r="O105" i="2"/>
  <c r="V62" i="3" l="1"/>
  <c r="V65" i="3" s="1"/>
  <c r="V60" i="3"/>
  <c r="P88" i="2"/>
  <c r="P102" i="2" s="1"/>
  <c r="P49" i="2" s="1"/>
  <c r="P51" i="2" s="1"/>
  <c r="P101" i="2"/>
  <c r="V83" i="3" l="1"/>
  <c r="V88" i="3" s="1"/>
  <c r="V66" i="3"/>
  <c r="P52" i="2"/>
  <c r="P54" i="2"/>
  <c r="P57" i="2" s="1"/>
  <c r="V97" i="3" l="1"/>
  <c r="P58" i="2"/>
  <c r="P75" i="2"/>
  <c r="P80" i="2" s="1"/>
  <c r="V104" i="3" l="1"/>
  <c r="V106" i="3" s="1"/>
  <c r="W102" i="3" s="1"/>
  <c r="W103" i="3" s="1"/>
  <c r="V99" i="3"/>
  <c r="W95" i="3" s="1"/>
  <c r="P89" i="2"/>
  <c r="P96" i="2"/>
  <c r="P98" i="2" s="1"/>
  <c r="Q94" i="2" s="1"/>
  <c r="Q95" i="2" s="1"/>
  <c r="V111" i="3" l="1"/>
  <c r="W96" i="3"/>
  <c r="P103" i="2"/>
  <c r="P91" i="2"/>
  <c r="V113" i="3" l="1"/>
  <c r="W109" i="3" s="1"/>
  <c r="V118" i="3"/>
  <c r="V120" i="3" s="1"/>
  <c r="Q87" i="2"/>
  <c r="P105" i="2"/>
  <c r="W110" i="3" l="1"/>
  <c r="W117" i="3" s="1"/>
  <c r="W57" i="3" s="1"/>
  <c r="W59" i="3" s="1"/>
  <c r="W116" i="3"/>
  <c r="Q88" i="2"/>
  <c r="Q102" i="2" s="1"/>
  <c r="Q49" i="2" s="1"/>
  <c r="Q51" i="2" s="1"/>
  <c r="Q101" i="2"/>
  <c r="W62" i="3" l="1"/>
  <c r="W65" i="3" s="1"/>
  <c r="W60" i="3"/>
  <c r="Q52" i="2"/>
  <c r="Q54" i="2"/>
  <c r="Q57" i="2" s="1"/>
  <c r="W83" i="3" l="1"/>
  <c r="W88" i="3" s="1"/>
  <c r="W66" i="3"/>
  <c r="Q58" i="2"/>
  <c r="Q75" i="2"/>
  <c r="Q80" i="2" s="1"/>
  <c r="W97" i="3" l="1"/>
  <c r="W104" i="3" s="1"/>
  <c r="W106" i="3" s="1"/>
  <c r="X102" i="3" s="1"/>
  <c r="X103" i="3" s="1"/>
  <c r="Q89" i="2"/>
  <c r="Q96" i="2"/>
  <c r="Q98" i="2" s="1"/>
  <c r="R94" i="2" s="1"/>
  <c r="R95" i="2" s="1"/>
  <c r="W111" i="3" l="1"/>
  <c r="W113" i="3" s="1"/>
  <c r="X109" i="3" s="1"/>
  <c r="X110" i="3" s="1"/>
  <c r="W99" i="3"/>
  <c r="X95" i="3" s="1"/>
  <c r="Q103" i="2"/>
  <c r="Q91" i="2"/>
  <c r="W118" i="3" l="1"/>
  <c r="W120" i="3" s="1"/>
  <c r="X116" i="3"/>
  <c r="X96" i="3"/>
  <c r="X117" i="3" s="1"/>
  <c r="X57" i="3" s="1"/>
  <c r="X59" i="3" s="1"/>
  <c r="R87" i="2"/>
  <c r="Q105" i="2"/>
  <c r="X62" i="3" l="1"/>
  <c r="X65" i="3" s="1"/>
  <c r="X60" i="3"/>
  <c r="R88" i="2"/>
  <c r="R102" i="2" s="1"/>
  <c r="R49" i="2" s="1"/>
  <c r="R51" i="2" s="1"/>
  <c r="R101" i="2"/>
  <c r="X83" i="3" l="1"/>
  <c r="X88" i="3" s="1"/>
  <c r="X97" i="3" s="1"/>
  <c r="X104" i="3" s="1"/>
  <c r="X106" i="3" s="1"/>
  <c r="X66" i="3"/>
  <c r="R52" i="2"/>
  <c r="R54" i="2"/>
  <c r="R57" i="2" s="1"/>
  <c r="X99" i="3" l="1"/>
  <c r="X111" i="3"/>
  <c r="X113" i="3" s="1"/>
  <c r="R58" i="2"/>
  <c r="R75" i="2"/>
  <c r="R80" i="2" s="1"/>
  <c r="X118" i="3" l="1"/>
  <c r="X120" i="3" s="1"/>
  <c r="X127" i="3" s="1"/>
  <c r="X129" i="3" s="1"/>
  <c r="X133" i="3" s="1"/>
  <c r="R89" i="2"/>
  <c r="R96" i="2"/>
  <c r="R98" i="2" s="1"/>
  <c r="X16" i="3" l="1"/>
  <c r="X134" i="3"/>
  <c r="X15" i="3" s="1"/>
  <c r="R103" i="2"/>
  <c r="R91" i="2"/>
  <c r="R105" i="2" s="1"/>
</calcChain>
</file>

<file path=xl/sharedStrings.xml><?xml version="1.0" encoding="utf-8"?>
<sst xmlns="http://schemas.openxmlformats.org/spreadsheetml/2006/main" count="267" uniqueCount="83">
  <si>
    <t>LBO</t>
  </si>
  <si>
    <t>Leveraged Buy Out Model</t>
  </si>
  <si>
    <t>Assumptions</t>
  </si>
  <si>
    <t>Entry (In Crores)</t>
  </si>
  <si>
    <t>LTM EBITDA</t>
  </si>
  <si>
    <t>EBITDA Multiple</t>
  </si>
  <si>
    <t>Enterprise Value</t>
  </si>
  <si>
    <t>Existing Net Debt</t>
  </si>
  <si>
    <t>Equity Value</t>
  </si>
  <si>
    <t>Financials</t>
  </si>
  <si>
    <t>LTM Financials</t>
  </si>
  <si>
    <t>Revenue</t>
  </si>
  <si>
    <t>EBITDA</t>
  </si>
  <si>
    <t>D&amp;A</t>
  </si>
  <si>
    <t>Capex</t>
  </si>
  <si>
    <t>NWC</t>
  </si>
  <si>
    <t>Capital Structure</t>
  </si>
  <si>
    <t>Amount</t>
  </si>
  <si>
    <t xml:space="preserve"> Cost</t>
  </si>
  <si>
    <t>Bank Debt</t>
  </si>
  <si>
    <t>Senior Notes</t>
  </si>
  <si>
    <t>For Reference</t>
  </si>
  <si>
    <t>IRR</t>
  </si>
  <si>
    <t>Fees &amp; Expenses</t>
  </si>
  <si>
    <t>Exit (In Crores)</t>
  </si>
  <si>
    <t>Operating Assumptions</t>
  </si>
  <si>
    <t>Revenue Growth</t>
  </si>
  <si>
    <t>YoY Margin Expansion</t>
  </si>
  <si>
    <t>Tax Rate</t>
  </si>
  <si>
    <t>Sources &amp; Uses</t>
  </si>
  <si>
    <t>Sources</t>
  </si>
  <si>
    <t>Uses</t>
  </si>
  <si>
    <t>xEBITDA</t>
  </si>
  <si>
    <t>%Capital</t>
  </si>
  <si>
    <t>Debt Retirement</t>
  </si>
  <si>
    <t>Equity Payment</t>
  </si>
  <si>
    <t>Total Debt</t>
  </si>
  <si>
    <t>Sponsor Equity</t>
  </si>
  <si>
    <t>Total Sources</t>
  </si>
  <si>
    <t>Total Uses</t>
  </si>
  <si>
    <t>Operating Model</t>
  </si>
  <si>
    <t>Year 0</t>
  </si>
  <si>
    <t>Year 1</t>
  </si>
  <si>
    <t>Year 2</t>
  </si>
  <si>
    <t>Year 3</t>
  </si>
  <si>
    <t>Year 4</t>
  </si>
  <si>
    <t>% Growth</t>
  </si>
  <si>
    <t>% Sales</t>
  </si>
  <si>
    <t>EBIT</t>
  </si>
  <si>
    <t>EBT</t>
  </si>
  <si>
    <t>Taxes</t>
  </si>
  <si>
    <t>% Tax Rate</t>
  </si>
  <si>
    <t>Interest</t>
  </si>
  <si>
    <t>Cash flow Items</t>
  </si>
  <si>
    <t>D &amp; A</t>
  </si>
  <si>
    <t>Net Working Capital</t>
  </si>
  <si>
    <t>Change in Net Working Capital</t>
  </si>
  <si>
    <t>CapEx</t>
  </si>
  <si>
    <t>Year 5</t>
  </si>
  <si>
    <t>Net Income</t>
  </si>
  <si>
    <t>Levered Cash Flow</t>
  </si>
  <si>
    <t>Change in NWC</t>
  </si>
  <si>
    <t>Debt Schedule</t>
  </si>
  <si>
    <t>Beginning Balance</t>
  </si>
  <si>
    <t>Paydown</t>
  </si>
  <si>
    <t>Closing Balance</t>
  </si>
  <si>
    <t>EBITDA at Exit</t>
  </si>
  <si>
    <t>Exit Multiple</t>
  </si>
  <si>
    <t>Net Debt</t>
  </si>
  <si>
    <t>Sponsor Equity Value</t>
  </si>
  <si>
    <t>Sponsor Equity at Entry</t>
  </si>
  <si>
    <t>MOIC</t>
  </si>
  <si>
    <t>Cogs</t>
  </si>
  <si>
    <t>OpEx</t>
  </si>
  <si>
    <t>Entry</t>
  </si>
  <si>
    <t>Revolver</t>
  </si>
  <si>
    <t>Bank Loan</t>
  </si>
  <si>
    <t>Exit</t>
  </si>
  <si>
    <t>COGS</t>
  </si>
  <si>
    <t>Gross Profit</t>
  </si>
  <si>
    <t>Total</t>
  </si>
  <si>
    <t>Debt Refinancing</t>
  </si>
  <si>
    <r>
      <t>You are a private equity firm looking to potentially buyout an insurance company. In the last 12 months, the company has generated $2BN in sales, $900MN in COGS, $500MN in OpEx, $100MN in D&amp;A, $200 in NWC and $140MN in CapEx. For simplicity your firm assumes it can grow the company revenue at 10% for the next 5 years, assumes a 21% tax rate and assumes all margin remains flat. your firm also believes it can enter and exit at 10.0x EBITDA multiple at the end of year 5. The company has existing net debt of $1BN Fees and expenses are estimated to amount to $100MN, and there will be 3 tranches of debt : $200MN from a revolver (7.5% interest), $2.5BN from a bank loan (9.5% interest) and $1.5BN from senior notes (12.5% interest)</t>
    </r>
    <r>
      <rPr>
        <b/>
        <sz val="20"/>
        <color rgb="FFFF0000"/>
        <rFont val="Calibri"/>
        <family val="2"/>
        <scheme val="minor"/>
      </rPr>
      <t xml:space="preserve"> Calculate the firm's IRR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</si>
</sst>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0\);&quot;--&quot;"/>
    <numFmt numFmtId="165" formatCode="0.0\x"/>
    <numFmt numFmtId="166" formatCode="0.0%"/>
    <numFmt numFmtId="167" formatCode="0.0\X"/>
  </numFmts>
  <fonts count="13" x14ac:knownFonts="1">
    <font>
      <sz val="11"/>
      <color theme="1"/>
      <name val="Calibri"/>
      <family val="2"/>
      <scheme val="minor"/>
    </font>
    <font>
      <sz val="11"/>
      <color rgb="FF9C5700"/>
      <name val="Calibri"/>
      <family val="2"/>
      <scheme val="minor"/>
    </font>
    <font>
      <sz val="11"/>
      <color theme="1"/>
      <name val="Arial"/>
      <family val="2"/>
    </font>
    <font>
      <b/>
      <sz val="11"/>
      <color theme="1"/>
      <name val="Arial"/>
      <family val="2"/>
    </font>
    <font>
      <b/>
      <sz val="11"/>
      <color theme="0"/>
      <name val="Arial"/>
      <family val="2"/>
    </font>
    <font>
      <b/>
      <sz val="15"/>
      <color theme="1"/>
      <name val="Arial"/>
      <family val="2"/>
    </font>
    <font>
      <sz val="11"/>
      <color rgb="FF00B0F0"/>
      <name val="Calibri"/>
      <family val="2"/>
      <scheme val="minor"/>
    </font>
    <font>
      <sz val="11"/>
      <color rgb="FF00B0F0"/>
      <name val="Arial"/>
      <family val="2"/>
    </font>
    <font>
      <sz val="11"/>
      <color theme="1"/>
      <name val="Calibri"/>
      <family val="2"/>
      <scheme val="minor"/>
    </font>
    <font>
      <sz val="11"/>
      <color theme="4"/>
      <name val="Calibri"/>
      <family val="2"/>
      <scheme val="minor"/>
    </font>
    <font>
      <i/>
      <sz val="11"/>
      <color theme="1"/>
      <name val="Arial"/>
      <family val="2"/>
    </font>
    <font>
      <sz val="20"/>
      <color theme="1"/>
      <name val="Calibri"/>
      <family val="2"/>
      <scheme val="minor"/>
    </font>
    <font>
      <b/>
      <sz val="20"/>
      <color rgb="FFFF0000"/>
      <name val="Calibri"/>
      <family val="2"/>
      <scheme val="minor"/>
    </font>
  </fonts>
  <fills count="9">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theme="0" tint="-0.14999847407452621"/>
      </right>
      <top/>
      <bottom/>
      <diagonal/>
    </border>
    <border>
      <left style="thin">
        <color theme="0" tint="-0.14999847407452621"/>
      </left>
      <right/>
      <top/>
      <bottom/>
      <diagonal/>
    </border>
    <border>
      <left/>
      <right/>
      <top/>
      <bottom style="thin">
        <color theme="0" tint="-0.14999847407452621"/>
      </bottom>
      <diagonal/>
    </border>
    <border>
      <left/>
      <right/>
      <top style="thin">
        <color indexed="64"/>
      </top>
      <bottom/>
      <diagonal/>
    </border>
    <border>
      <left/>
      <right/>
      <top/>
      <bottom style="thin">
        <color theme="1"/>
      </bottom>
      <diagonal/>
    </border>
    <border>
      <left/>
      <right/>
      <top style="thin">
        <color theme="1"/>
      </top>
      <bottom style="thin">
        <color theme="1"/>
      </bottom>
      <diagonal/>
    </border>
    <border>
      <left style="thin">
        <color theme="0" tint="-0.14999847407452621"/>
      </left>
      <right/>
      <top style="thin">
        <color theme="1"/>
      </top>
      <bottom style="thin">
        <color theme="1"/>
      </bottom>
      <diagonal/>
    </border>
    <border>
      <left/>
      <right/>
      <top style="thin">
        <color theme="1"/>
      </top>
      <bottom/>
      <diagonal/>
    </border>
    <border>
      <left/>
      <right/>
      <top style="thin">
        <color theme="1"/>
      </top>
      <bottom style="thin">
        <color theme="0" tint="-0.14999847407452621"/>
      </bottom>
      <diagonal/>
    </border>
    <border>
      <left/>
      <right style="thin">
        <color indexed="64"/>
      </right>
      <top/>
      <bottom style="thin">
        <color theme="1"/>
      </bottom>
      <diagonal/>
    </border>
  </borders>
  <cellStyleXfs count="2">
    <xf numFmtId="0" fontId="0" fillId="0" borderId="0"/>
    <xf numFmtId="0" fontId="1" fillId="2" borderId="0" applyNumberFormat="0" applyBorder="0" applyAlignment="0" applyProtection="0"/>
  </cellStyleXfs>
  <cellXfs count="105">
    <xf numFmtId="0" fontId="0" fillId="0" borderId="0" xfId="0"/>
    <xf numFmtId="0" fontId="0" fillId="3" borderId="0" xfId="0" applyFill="1"/>
    <xf numFmtId="164" fontId="5" fillId="3" borderId="0" xfId="0" applyNumberFormat="1" applyFont="1" applyFill="1"/>
    <xf numFmtId="164" fontId="2" fillId="3" borderId="0" xfId="0" applyNumberFormat="1" applyFont="1" applyFill="1"/>
    <xf numFmtId="164" fontId="4" fillId="4" borderId="0" xfId="0" applyNumberFormat="1" applyFont="1" applyFill="1"/>
    <xf numFmtId="164" fontId="2" fillId="4" borderId="0" xfId="0" applyNumberFormat="1" applyFont="1" applyFill="1"/>
    <xf numFmtId="164" fontId="3" fillId="5" borderId="0" xfId="0" applyNumberFormat="1" applyFont="1" applyFill="1"/>
    <xf numFmtId="164" fontId="2" fillId="5" borderId="0" xfId="0" applyNumberFormat="1" applyFont="1" applyFill="1"/>
    <xf numFmtId="164" fontId="3" fillId="5" borderId="0" xfId="0" applyNumberFormat="1" applyFont="1" applyFill="1" applyAlignment="1">
      <alignment horizontal="right"/>
    </xf>
    <xf numFmtId="164" fontId="3" fillId="3" borderId="0" xfId="0" applyNumberFormat="1" applyFont="1" applyFill="1"/>
    <xf numFmtId="164" fontId="2" fillId="3" borderId="1" xfId="0" applyNumberFormat="1" applyFont="1" applyFill="1" applyBorder="1"/>
    <xf numFmtId="165" fontId="6" fillId="2" borderId="2" xfId="1" applyNumberFormat="1" applyFont="1" applyBorder="1"/>
    <xf numFmtId="164" fontId="3" fillId="6" borderId="0" xfId="0" applyNumberFormat="1" applyFont="1" applyFill="1"/>
    <xf numFmtId="164" fontId="1" fillId="3" borderId="0" xfId="1" applyNumberFormat="1" applyFill="1" applyBorder="1"/>
    <xf numFmtId="164" fontId="1" fillId="3" borderId="1" xfId="1" applyNumberFormat="1" applyFill="1" applyBorder="1"/>
    <xf numFmtId="164" fontId="6" fillId="2" borderId="2" xfId="1" applyNumberFormat="1" applyFont="1" applyBorder="1"/>
    <xf numFmtId="167" fontId="6" fillId="2" borderId="2" xfId="1" applyNumberFormat="1" applyFont="1" applyBorder="1"/>
    <xf numFmtId="166" fontId="6" fillId="2" borderId="2" xfId="1" applyNumberFormat="1" applyFont="1" applyBorder="1"/>
    <xf numFmtId="10" fontId="6" fillId="2" borderId="2" xfId="1" applyNumberFormat="1" applyFont="1" applyBorder="1"/>
    <xf numFmtId="164" fontId="2" fillId="3" borderId="0" xfId="0" applyNumberFormat="1" applyFont="1" applyFill="1" applyAlignment="1">
      <alignment horizontal="right"/>
    </xf>
    <xf numFmtId="165" fontId="2" fillId="3" borderId="0" xfId="0" applyNumberFormat="1" applyFont="1" applyFill="1" applyAlignment="1">
      <alignment horizontal="right"/>
    </xf>
    <xf numFmtId="10" fontId="2" fillId="3" borderId="0" xfId="0" applyNumberFormat="1" applyFont="1" applyFill="1" applyAlignment="1">
      <alignment horizontal="right"/>
    </xf>
    <xf numFmtId="164" fontId="2" fillId="3" borderId="1" xfId="0" applyNumberFormat="1" applyFont="1" applyFill="1" applyBorder="1" applyAlignment="1">
      <alignment horizontal="right"/>
    </xf>
    <xf numFmtId="165" fontId="2" fillId="3" borderId="1" xfId="0" applyNumberFormat="1" applyFont="1" applyFill="1" applyBorder="1" applyAlignment="1">
      <alignment horizontal="right"/>
    </xf>
    <xf numFmtId="10" fontId="2" fillId="3" borderId="1" xfId="0" applyNumberFormat="1" applyFont="1" applyFill="1" applyBorder="1" applyAlignment="1">
      <alignment horizontal="right"/>
    </xf>
    <xf numFmtId="166" fontId="2" fillId="3" borderId="0" xfId="0" applyNumberFormat="1" applyFont="1" applyFill="1" applyAlignment="1">
      <alignment horizontal="right"/>
    </xf>
    <xf numFmtId="164" fontId="2" fillId="6" borderId="0" xfId="0" applyNumberFormat="1" applyFont="1" applyFill="1" applyAlignment="1">
      <alignment horizontal="right"/>
    </xf>
    <xf numFmtId="165" fontId="2" fillId="6" borderId="0" xfId="0" applyNumberFormat="1" applyFont="1" applyFill="1" applyAlignment="1">
      <alignment horizontal="right"/>
    </xf>
    <xf numFmtId="10" fontId="2" fillId="6" borderId="0" xfId="0" applyNumberFormat="1" applyFont="1" applyFill="1" applyAlignment="1">
      <alignment horizontal="right"/>
    </xf>
    <xf numFmtId="164" fontId="2" fillId="3" borderId="3" xfId="0" applyNumberFormat="1" applyFont="1" applyFill="1" applyBorder="1"/>
    <xf numFmtId="10" fontId="2" fillId="3" borderId="0" xfId="0" applyNumberFormat="1" applyFont="1" applyFill="1"/>
    <xf numFmtId="165" fontId="7" fillId="3" borderId="0" xfId="0" applyNumberFormat="1" applyFont="1" applyFill="1"/>
    <xf numFmtId="166" fontId="2" fillId="3" borderId="3" xfId="0" applyNumberFormat="1" applyFont="1" applyFill="1" applyBorder="1"/>
    <xf numFmtId="166" fontId="2" fillId="3" borderId="0" xfId="0" applyNumberFormat="1" applyFont="1" applyFill="1"/>
    <xf numFmtId="166" fontId="2" fillId="3" borderId="4" xfId="0" applyNumberFormat="1" applyFont="1" applyFill="1" applyBorder="1"/>
    <xf numFmtId="164" fontId="2" fillId="6" borderId="0" xfId="0" applyNumberFormat="1" applyFont="1" applyFill="1"/>
    <xf numFmtId="164" fontId="2" fillId="3" borderId="0" xfId="0" applyNumberFormat="1" applyFont="1" applyFill="1" applyAlignment="1">
      <alignment horizontal="left" indent="1"/>
    </xf>
    <xf numFmtId="164" fontId="8" fillId="2" borderId="0" xfId="1" applyNumberFormat="1" applyFont="1" applyBorder="1"/>
    <xf numFmtId="164" fontId="2" fillId="3" borderId="5" xfId="0" applyNumberFormat="1" applyFont="1" applyFill="1" applyBorder="1"/>
    <xf numFmtId="164" fontId="2" fillId="3" borderId="0" xfId="0" applyNumberFormat="1" applyFont="1" applyFill="1" applyAlignment="1">
      <alignment horizontal="left"/>
    </xf>
    <xf numFmtId="164" fontId="5" fillId="7" borderId="0" xfId="0" applyNumberFormat="1" applyFont="1" applyFill="1"/>
    <xf numFmtId="165" fontId="2" fillId="3" borderId="5" xfId="0" applyNumberFormat="1" applyFont="1" applyFill="1" applyBorder="1"/>
    <xf numFmtId="165" fontId="3" fillId="6" borderId="0" xfId="0" applyNumberFormat="1" applyFont="1" applyFill="1"/>
    <xf numFmtId="166" fontId="3" fillId="6" borderId="0" xfId="0" applyNumberFormat="1" applyFont="1" applyFill="1"/>
    <xf numFmtId="0" fontId="2" fillId="3" borderId="0" xfId="0" applyFont="1" applyFill="1"/>
    <xf numFmtId="0" fontId="2" fillId="5" borderId="0" xfId="0" applyFont="1" applyFill="1"/>
    <xf numFmtId="164" fontId="9" fillId="2" borderId="2" xfId="1" applyNumberFormat="1" applyFont="1" applyBorder="1"/>
    <xf numFmtId="0" fontId="3" fillId="5" borderId="0" xfId="0" applyFont="1" applyFill="1"/>
    <xf numFmtId="0" fontId="3" fillId="5" borderId="0" xfId="0" applyFont="1" applyFill="1" applyAlignment="1">
      <alignment horizontal="right"/>
    </xf>
    <xf numFmtId="0" fontId="3" fillId="5" borderId="0" xfId="0" applyFont="1" applyFill="1" applyAlignment="1">
      <alignment horizontal="left"/>
    </xf>
    <xf numFmtId="0" fontId="2" fillId="3" borderId="0" xfId="0" applyFont="1" applyFill="1" applyAlignment="1">
      <alignment horizontal="left"/>
    </xf>
    <xf numFmtId="165" fontId="9" fillId="2" borderId="2" xfId="1" applyNumberFormat="1" applyFont="1" applyBorder="1"/>
    <xf numFmtId="166" fontId="9" fillId="2" borderId="2" xfId="1" applyNumberFormat="1" applyFont="1" applyBorder="1"/>
    <xf numFmtId="164" fontId="10" fillId="3" borderId="0" xfId="0" applyNumberFormat="1" applyFont="1" applyFill="1" applyAlignment="1">
      <alignment horizontal="left" indent="1"/>
    </xf>
    <xf numFmtId="164" fontId="2" fillId="3" borderId="3" xfId="0" applyNumberFormat="1" applyFont="1" applyFill="1" applyBorder="1" applyAlignment="1">
      <alignment horizontal="right"/>
    </xf>
    <xf numFmtId="0" fontId="2" fillId="3" borderId="7" xfId="0" applyFont="1" applyFill="1" applyBorder="1"/>
    <xf numFmtId="164" fontId="2" fillId="3" borderId="7" xfId="0" applyNumberFormat="1" applyFont="1" applyFill="1" applyBorder="1"/>
    <xf numFmtId="165" fontId="2" fillId="3" borderId="0" xfId="0" applyNumberFormat="1" applyFont="1" applyFill="1"/>
    <xf numFmtId="165" fontId="2" fillId="3" borderId="7" xfId="0" applyNumberFormat="1" applyFont="1" applyFill="1" applyBorder="1"/>
    <xf numFmtId="0" fontId="3" fillId="3" borderId="0" xfId="0" applyFont="1" applyFill="1"/>
    <xf numFmtId="0" fontId="2" fillId="6" borderId="8" xfId="0" applyFont="1" applyFill="1" applyBorder="1"/>
    <xf numFmtId="164" fontId="2" fillId="6" borderId="8" xfId="0" applyNumberFormat="1" applyFont="1" applyFill="1" applyBorder="1"/>
    <xf numFmtId="166" fontId="2" fillId="3" borderId="7" xfId="0" applyNumberFormat="1" applyFont="1" applyFill="1" applyBorder="1"/>
    <xf numFmtId="0" fontId="3" fillId="6" borderId="8" xfId="0" applyFont="1" applyFill="1" applyBorder="1"/>
    <xf numFmtId="164" fontId="3" fillId="6" borderId="8" xfId="0" applyNumberFormat="1" applyFont="1" applyFill="1" applyBorder="1"/>
    <xf numFmtId="165" fontId="3" fillId="6" borderId="8" xfId="0" applyNumberFormat="1" applyFont="1" applyFill="1" applyBorder="1"/>
    <xf numFmtId="164" fontId="2" fillId="6" borderId="8" xfId="0" applyNumberFormat="1" applyFont="1" applyFill="1" applyBorder="1" applyAlignment="1">
      <alignment horizontal="left"/>
    </xf>
    <xf numFmtId="164" fontId="2" fillId="8" borderId="9" xfId="0" applyNumberFormat="1" applyFont="1" applyFill="1" applyBorder="1"/>
    <xf numFmtId="164" fontId="2" fillId="8" borderId="8" xfId="0" applyNumberFormat="1" applyFont="1" applyFill="1" applyBorder="1"/>
    <xf numFmtId="164" fontId="3" fillId="6" borderId="10" xfId="0" applyNumberFormat="1" applyFont="1" applyFill="1" applyBorder="1" applyAlignment="1">
      <alignment horizontal="left"/>
    </xf>
    <xf numFmtId="164" fontId="2" fillId="6" borderId="10" xfId="0" applyNumberFormat="1" applyFont="1" applyFill="1" applyBorder="1" applyAlignment="1">
      <alignment horizontal="left"/>
    </xf>
    <xf numFmtId="164" fontId="3" fillId="6" borderId="7" xfId="0" applyNumberFormat="1" applyFont="1" applyFill="1" applyBorder="1" applyAlignment="1">
      <alignment horizontal="left"/>
    </xf>
    <xf numFmtId="164" fontId="2" fillId="6" borderId="7" xfId="0" applyNumberFormat="1" applyFont="1" applyFill="1" applyBorder="1" applyAlignment="1">
      <alignment horizontal="left"/>
    </xf>
    <xf numFmtId="165" fontId="2" fillId="3" borderId="5" xfId="0" applyNumberFormat="1" applyFont="1" applyFill="1" applyBorder="1" applyAlignment="1">
      <alignment horizontal="right"/>
    </xf>
    <xf numFmtId="164" fontId="3" fillId="3" borderId="0" xfId="0" applyNumberFormat="1" applyFont="1" applyFill="1" applyAlignment="1">
      <alignment horizontal="right"/>
    </xf>
    <xf numFmtId="164" fontId="3" fillId="6" borderId="8" xfId="0" applyNumberFormat="1" applyFont="1" applyFill="1" applyBorder="1" applyAlignment="1">
      <alignment horizontal="right"/>
    </xf>
    <xf numFmtId="165" fontId="2" fillId="6" borderId="11" xfId="0" applyNumberFormat="1" applyFont="1" applyFill="1" applyBorder="1" applyAlignment="1">
      <alignment horizontal="right"/>
    </xf>
    <xf numFmtId="9" fontId="3" fillId="6" borderId="7" xfId="0" applyNumberFormat="1" applyFont="1" applyFill="1" applyBorder="1" applyAlignment="1">
      <alignment horizontal="right"/>
    </xf>
    <xf numFmtId="0" fontId="3" fillId="6" borderId="10" xfId="0" applyFont="1" applyFill="1" applyBorder="1"/>
    <xf numFmtId="9" fontId="3" fillId="6" borderId="10" xfId="0" applyNumberFormat="1" applyFont="1" applyFill="1" applyBorder="1"/>
    <xf numFmtId="0" fontId="3" fillId="6" borderId="7" xfId="0" applyFont="1" applyFill="1" applyBorder="1"/>
    <xf numFmtId="165" fontId="3" fillId="6" borderId="7" xfId="0" applyNumberFormat="1" applyFont="1" applyFill="1" applyBorder="1"/>
    <xf numFmtId="164" fontId="9" fillId="3" borderId="0" xfId="1" applyNumberFormat="1" applyFont="1" applyFill="1" applyBorder="1"/>
    <xf numFmtId="166" fontId="9" fillId="3" borderId="0" xfId="1" applyNumberFormat="1" applyFont="1" applyFill="1" applyBorder="1"/>
    <xf numFmtId="0" fontId="2" fillId="3" borderId="12" xfId="0" applyFont="1" applyFill="1" applyBorder="1"/>
    <xf numFmtId="165" fontId="9" fillId="3" borderId="0" xfId="1" applyNumberFormat="1" applyFont="1" applyFill="1" applyBorder="1"/>
    <xf numFmtId="9" fontId="3" fillId="6" borderId="8" xfId="0" applyNumberFormat="1" applyFont="1" applyFill="1" applyBorder="1"/>
    <xf numFmtId="0" fontId="11" fillId="3" borderId="0" xfId="0" applyFont="1" applyFill="1" applyAlignment="1">
      <alignment wrapText="1"/>
    </xf>
    <xf numFmtId="164" fontId="5" fillId="7" borderId="0" xfId="0" applyNumberFormat="1" applyFont="1" applyFill="1" applyAlignment="1">
      <alignment horizontal="center"/>
    </xf>
    <xf numFmtId="164" fontId="2" fillId="3" borderId="0" xfId="0" applyNumberFormat="1" applyFont="1" applyFill="1" applyAlignment="1">
      <alignment horizontal="left"/>
    </xf>
    <xf numFmtId="164" fontId="3" fillId="6" borderId="0" xfId="0" applyNumberFormat="1" applyFont="1" applyFill="1" applyAlignment="1">
      <alignment horizontal="left"/>
    </xf>
    <xf numFmtId="0" fontId="11" fillId="3" borderId="0" xfId="0" applyFont="1" applyFill="1" applyAlignment="1">
      <alignment horizontal="center" wrapText="1"/>
    </xf>
    <xf numFmtId="164" fontId="3" fillId="3" borderId="0" xfId="0" applyNumberFormat="1" applyFont="1" applyFill="1" applyAlignment="1">
      <alignment horizontal="left"/>
    </xf>
    <xf numFmtId="164" fontId="3" fillId="6" borderId="8" xfId="0" applyNumberFormat="1" applyFont="1" applyFill="1" applyBorder="1" applyAlignment="1">
      <alignment horizontal="left"/>
    </xf>
    <xf numFmtId="164" fontId="2" fillId="3" borderId="0" xfId="0" applyNumberFormat="1" applyFont="1" applyFill="1" applyAlignment="1">
      <alignment horizontal="left" indent="1"/>
    </xf>
    <xf numFmtId="164" fontId="2" fillId="3" borderId="5" xfId="0" applyNumberFormat="1" applyFont="1" applyFill="1" applyBorder="1" applyAlignment="1">
      <alignment horizontal="left"/>
    </xf>
    <xf numFmtId="164" fontId="4" fillId="4" borderId="0" xfId="0" applyNumberFormat="1" applyFont="1" applyFill="1" applyAlignment="1">
      <alignment horizontal="left"/>
    </xf>
    <xf numFmtId="0" fontId="2" fillId="3" borderId="0" xfId="0" applyFont="1" applyFill="1" applyAlignment="1">
      <alignment horizontal="left"/>
    </xf>
    <xf numFmtId="0" fontId="3" fillId="6" borderId="8" xfId="0" applyFont="1" applyFill="1" applyBorder="1" applyAlignment="1">
      <alignment horizontal="left"/>
    </xf>
    <xf numFmtId="164" fontId="3" fillId="5" borderId="0" xfId="0" applyNumberFormat="1" applyFont="1" applyFill="1" applyAlignment="1">
      <alignment horizontal="left"/>
    </xf>
    <xf numFmtId="164" fontId="10" fillId="3" borderId="0" xfId="0" applyNumberFormat="1" applyFont="1" applyFill="1" applyAlignment="1">
      <alignment horizontal="left" indent="1"/>
    </xf>
    <xf numFmtId="0" fontId="2" fillId="3" borderId="7" xfId="0" applyFont="1" applyFill="1" applyBorder="1" applyAlignment="1">
      <alignment horizontal="left"/>
    </xf>
    <xf numFmtId="164" fontId="3" fillId="3" borderId="6" xfId="0" applyNumberFormat="1" applyFont="1" applyFill="1" applyBorder="1" applyAlignment="1">
      <alignment horizontal="left"/>
    </xf>
    <xf numFmtId="0" fontId="3" fillId="5" borderId="0" xfId="0" applyFont="1" applyFill="1" applyAlignment="1">
      <alignment horizontal="left"/>
    </xf>
    <xf numFmtId="164" fontId="2" fillId="3" borderId="1" xfId="0" applyNumberFormat="1" applyFont="1" applyFill="1" applyBorder="1" applyAlignment="1">
      <alignment horizontal="left"/>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B28F-8389-42D5-BDA6-F3B1092E54D0}">
  <sheetPr>
    <tabColor rgb="FF00B050"/>
    <pageSetUpPr fitToPage="1"/>
  </sheetPr>
  <dimension ref="B1:S119"/>
  <sheetViews>
    <sheetView zoomScale="70" zoomScaleNormal="70" workbookViewId="0"/>
  </sheetViews>
  <sheetFormatPr defaultRowHeight="13.8" outlineLevelRow="1" x14ac:dyDescent="0.25"/>
  <cols>
    <col min="1" max="1" width="2" style="3" customWidth="1"/>
    <col min="2" max="2" width="20.77734375" style="3" customWidth="1"/>
    <col min="3" max="5" width="8.88671875" style="3" customWidth="1"/>
    <col min="6" max="8" width="8.88671875" style="3"/>
    <col min="9" max="9" width="25.77734375" style="3" customWidth="1"/>
    <col min="10" max="11" width="8.88671875" style="3"/>
    <col min="12" max="12" width="20.77734375" style="3" customWidth="1"/>
    <col min="13" max="16" width="8.88671875" style="3" customWidth="1"/>
    <col min="17" max="16384" width="8.88671875" style="3"/>
  </cols>
  <sheetData>
    <row r="1" spans="2:19" ht="19.2" x14ac:dyDescent="0.35">
      <c r="B1" s="40" t="s">
        <v>0</v>
      </c>
      <c r="C1" s="40"/>
      <c r="D1" s="40"/>
      <c r="E1" s="40"/>
      <c r="F1" s="88" t="s">
        <v>1</v>
      </c>
      <c r="G1" s="88"/>
      <c r="H1" s="88"/>
      <c r="I1" s="88"/>
      <c r="J1" s="88"/>
      <c r="K1" s="88"/>
      <c r="L1" s="88"/>
      <c r="M1" s="88"/>
      <c r="N1" s="88"/>
      <c r="O1" s="88"/>
      <c r="P1" s="88"/>
      <c r="Q1" s="88"/>
      <c r="R1" s="88"/>
      <c r="S1" s="2"/>
    </row>
    <row r="3" spans="2:19" x14ac:dyDescent="0.25">
      <c r="B3" s="4" t="s">
        <v>2</v>
      </c>
      <c r="C3" s="4"/>
      <c r="D3" s="4"/>
      <c r="E3" s="4"/>
      <c r="F3" s="5"/>
      <c r="G3" s="5"/>
      <c r="H3" s="5"/>
      <c r="I3" s="5"/>
      <c r="J3" s="5"/>
      <c r="K3" s="5"/>
      <c r="L3" s="5"/>
      <c r="M3" s="5"/>
      <c r="N3" s="5"/>
      <c r="O3" s="5"/>
      <c r="P3" s="5"/>
      <c r="Q3" s="5"/>
      <c r="R3" s="5"/>
    </row>
    <row r="4" spans="2:19" ht="7.05" customHeight="1" outlineLevel="1" x14ac:dyDescent="0.25"/>
    <row r="5" spans="2:19" outlineLevel="1" x14ac:dyDescent="0.25">
      <c r="B5" s="6" t="s">
        <v>3</v>
      </c>
      <c r="C5" s="6"/>
      <c r="D5" s="6"/>
      <c r="E5" s="6"/>
      <c r="F5" s="7"/>
      <c r="G5" s="7"/>
      <c r="I5" s="6" t="s">
        <v>9</v>
      </c>
      <c r="J5" s="7"/>
      <c r="L5" s="6" t="s">
        <v>16</v>
      </c>
      <c r="M5" s="6"/>
      <c r="N5" s="6"/>
      <c r="O5" s="6"/>
      <c r="P5" s="6"/>
      <c r="Q5" s="6" t="s">
        <v>17</v>
      </c>
      <c r="R5" s="8" t="s">
        <v>18</v>
      </c>
    </row>
    <row r="6" spans="2:19" ht="7.05" customHeight="1" outlineLevel="1" x14ac:dyDescent="0.25"/>
    <row r="7" spans="2:19" ht="14.4" outlineLevel="1" x14ac:dyDescent="0.3">
      <c r="B7" s="3" t="s">
        <v>4</v>
      </c>
      <c r="G7" s="3">
        <f>$J$9</f>
        <v>250</v>
      </c>
      <c r="I7" s="9" t="s">
        <v>10</v>
      </c>
      <c r="L7" s="3" t="s">
        <v>19</v>
      </c>
      <c r="Q7" s="16">
        <v>4</v>
      </c>
      <c r="R7" s="17">
        <v>0.06</v>
      </c>
    </row>
    <row r="8" spans="2:19" ht="14.4" outlineLevel="1" x14ac:dyDescent="0.3">
      <c r="B8" s="10" t="s">
        <v>5</v>
      </c>
      <c r="C8" s="10"/>
      <c r="D8" s="10"/>
      <c r="E8" s="10"/>
      <c r="F8" s="10"/>
      <c r="G8" s="11">
        <v>10</v>
      </c>
      <c r="I8" s="3" t="s">
        <v>11</v>
      </c>
      <c r="J8" s="15">
        <v>1000</v>
      </c>
      <c r="L8" s="3" t="s">
        <v>20</v>
      </c>
      <c r="Q8" s="16">
        <v>2</v>
      </c>
      <c r="R8" s="17">
        <v>0.12</v>
      </c>
    </row>
    <row r="9" spans="2:19" ht="14.4" outlineLevel="1" x14ac:dyDescent="0.3">
      <c r="B9" s="9" t="s">
        <v>6</v>
      </c>
      <c r="C9" s="9"/>
      <c r="D9" s="9"/>
      <c r="E9" s="9"/>
      <c r="G9" s="9">
        <f>$G$7*$G$8</f>
        <v>2500</v>
      </c>
      <c r="I9" s="3" t="s">
        <v>12</v>
      </c>
      <c r="J9" s="15">
        <v>250</v>
      </c>
    </row>
    <row r="10" spans="2:19" ht="14.4" outlineLevel="1" x14ac:dyDescent="0.3">
      <c r="B10" s="10" t="s">
        <v>7</v>
      </c>
      <c r="C10" s="10"/>
      <c r="D10" s="10"/>
      <c r="E10" s="10"/>
      <c r="F10" s="14"/>
      <c r="G10" s="15">
        <v>500</v>
      </c>
      <c r="I10" s="3" t="s">
        <v>13</v>
      </c>
      <c r="J10" s="15">
        <v>50</v>
      </c>
      <c r="L10" s="6" t="s">
        <v>21</v>
      </c>
      <c r="M10" s="6"/>
      <c r="N10" s="6"/>
      <c r="O10" s="6"/>
      <c r="P10" s="6"/>
      <c r="Q10" s="7"/>
      <c r="R10" s="7"/>
    </row>
    <row r="11" spans="2:19" ht="14.4" outlineLevel="1" x14ac:dyDescent="0.3">
      <c r="B11" s="9" t="s">
        <v>8</v>
      </c>
      <c r="C11" s="9"/>
      <c r="D11" s="9"/>
      <c r="E11" s="9"/>
      <c r="G11" s="9">
        <f>$G$9-$G$10</f>
        <v>2000</v>
      </c>
      <c r="I11" s="3" t="s">
        <v>14</v>
      </c>
      <c r="J11" s="15">
        <v>75</v>
      </c>
      <c r="L11" s="3" t="s">
        <v>22</v>
      </c>
      <c r="R11" s="33">
        <f>$R$119</f>
        <v>0.24952597107560948</v>
      </c>
    </row>
    <row r="12" spans="2:19" ht="14.4" outlineLevel="1" x14ac:dyDescent="0.3">
      <c r="I12" s="3" t="s">
        <v>15</v>
      </c>
      <c r="J12" s="15">
        <v>100</v>
      </c>
    </row>
    <row r="13" spans="2:19" outlineLevel="1" x14ac:dyDescent="0.25"/>
    <row r="14" spans="2:19" ht="14.4" outlineLevel="1" x14ac:dyDescent="0.3">
      <c r="B14" s="3" t="s">
        <v>23</v>
      </c>
      <c r="F14" s="13"/>
      <c r="G14" s="15">
        <v>50</v>
      </c>
    </row>
    <row r="15" spans="2:19" outlineLevel="1" x14ac:dyDescent="0.25"/>
    <row r="16" spans="2:19" outlineLevel="1" x14ac:dyDescent="0.25">
      <c r="B16" s="6" t="s">
        <v>24</v>
      </c>
      <c r="C16" s="6"/>
      <c r="D16" s="6"/>
      <c r="E16" s="6"/>
      <c r="F16" s="7"/>
      <c r="G16" s="7"/>
      <c r="I16" s="6" t="s">
        <v>25</v>
      </c>
      <c r="J16" s="7"/>
    </row>
    <row r="17" spans="2:18" ht="7.05" customHeight="1" outlineLevel="1" x14ac:dyDescent="0.25">
      <c r="B17" s="9"/>
      <c r="C17" s="9"/>
      <c r="D17" s="9"/>
      <c r="E17" s="9"/>
    </row>
    <row r="18" spans="2:18" ht="14.4" outlineLevel="1" x14ac:dyDescent="0.3">
      <c r="B18" s="3" t="s">
        <v>5</v>
      </c>
      <c r="G18" s="31">
        <v>10</v>
      </c>
      <c r="I18" s="3" t="s">
        <v>26</v>
      </c>
      <c r="J18" s="18">
        <v>7.0000000000000007E-2</v>
      </c>
    </row>
    <row r="19" spans="2:18" ht="14.4" outlineLevel="1" x14ac:dyDescent="0.3">
      <c r="I19" s="3" t="s">
        <v>27</v>
      </c>
      <c r="J19" s="18">
        <v>0.01</v>
      </c>
    </row>
    <row r="20" spans="2:18" ht="14.4" outlineLevel="1" x14ac:dyDescent="0.3">
      <c r="I20" s="3" t="s">
        <v>28</v>
      </c>
      <c r="J20" s="18">
        <v>0.21</v>
      </c>
    </row>
    <row r="22" spans="2:18" x14ac:dyDescent="0.25">
      <c r="B22" s="4" t="s">
        <v>29</v>
      </c>
      <c r="C22" s="4"/>
      <c r="D22" s="4"/>
      <c r="E22" s="4"/>
      <c r="F22" s="5"/>
      <c r="G22" s="5"/>
      <c r="H22" s="5"/>
      <c r="I22" s="5"/>
      <c r="J22" s="5"/>
      <c r="K22" s="5"/>
      <c r="L22" s="5"/>
      <c r="M22" s="5"/>
      <c r="N22" s="5"/>
      <c r="O22" s="5"/>
      <c r="P22" s="5"/>
      <c r="Q22" s="5"/>
      <c r="R22" s="5"/>
    </row>
    <row r="23" spans="2:18" ht="7.05" customHeight="1" outlineLevel="1" x14ac:dyDescent="0.25"/>
    <row r="24" spans="2:18" outlineLevel="1" x14ac:dyDescent="0.25">
      <c r="B24" s="6" t="s">
        <v>30</v>
      </c>
      <c r="C24" s="6"/>
      <c r="D24" s="6"/>
      <c r="E24" s="6"/>
      <c r="F24" s="7"/>
      <c r="G24" s="7"/>
      <c r="H24" s="7"/>
      <c r="L24" s="6" t="s">
        <v>31</v>
      </c>
      <c r="M24" s="6"/>
      <c r="N24" s="6"/>
      <c r="O24" s="6"/>
      <c r="P24" s="7"/>
      <c r="Q24" s="7"/>
      <c r="R24" s="7"/>
    </row>
    <row r="25" spans="2:18" ht="7.05" customHeight="1" outlineLevel="1" x14ac:dyDescent="0.25"/>
    <row r="26" spans="2:18" outlineLevel="1" x14ac:dyDescent="0.25">
      <c r="F26" s="10" t="s">
        <v>17</v>
      </c>
      <c r="G26" s="10" t="s">
        <v>32</v>
      </c>
      <c r="H26" s="10" t="s">
        <v>33</v>
      </c>
      <c r="P26" s="10" t="s">
        <v>17</v>
      </c>
      <c r="Q26" s="10" t="s">
        <v>32</v>
      </c>
      <c r="R26" s="10" t="s">
        <v>33</v>
      </c>
    </row>
    <row r="27" spans="2:18" ht="7.05" customHeight="1" outlineLevel="1" x14ac:dyDescent="0.25"/>
    <row r="28" spans="2:18" outlineLevel="1" x14ac:dyDescent="0.25">
      <c r="B28" s="3" t="s">
        <v>19</v>
      </c>
      <c r="F28" s="19">
        <f>G28*$J$9</f>
        <v>1000</v>
      </c>
      <c r="G28" s="20">
        <f>$Q$7</f>
        <v>4</v>
      </c>
      <c r="H28" s="21">
        <f>F28/$F$34</f>
        <v>0.39215686274509803</v>
      </c>
      <c r="L28" s="3" t="s">
        <v>34</v>
      </c>
      <c r="P28" s="19">
        <f>$G$10</f>
        <v>500</v>
      </c>
      <c r="Q28" s="20">
        <f>P28/$J$9</f>
        <v>2</v>
      </c>
      <c r="R28" s="25">
        <f>P28/$P$34</f>
        <v>0.19607843137254902</v>
      </c>
    </row>
    <row r="29" spans="2:18" outlineLevel="1" x14ac:dyDescent="0.25">
      <c r="B29" s="10" t="s">
        <v>20</v>
      </c>
      <c r="C29" s="10"/>
      <c r="D29" s="10"/>
      <c r="E29" s="10"/>
      <c r="F29" s="22">
        <f>G29*$J$9</f>
        <v>500</v>
      </c>
      <c r="G29" s="23">
        <f>$Q$8</f>
        <v>2</v>
      </c>
      <c r="H29" s="24">
        <f t="shared" ref="H29:H34" si="0">F29/$F$34</f>
        <v>0.19607843137254902</v>
      </c>
      <c r="L29" s="3" t="s">
        <v>35</v>
      </c>
      <c r="P29" s="19">
        <f>$G$11</f>
        <v>2000</v>
      </c>
      <c r="Q29" s="20">
        <f>P29/$J$9</f>
        <v>8</v>
      </c>
      <c r="R29" s="25">
        <f t="shared" ref="R29" si="1">P29/$P$34</f>
        <v>0.78431372549019607</v>
      </c>
    </row>
    <row r="30" spans="2:18" outlineLevel="1" x14ac:dyDescent="0.25">
      <c r="B30" s="9" t="s">
        <v>36</v>
      </c>
      <c r="C30" s="9"/>
      <c r="D30" s="9"/>
      <c r="E30" s="9"/>
      <c r="F30" s="19">
        <f>SUM(F28:F29)</f>
        <v>1500</v>
      </c>
      <c r="G30" s="20">
        <f>SUM(G28:G29)</f>
        <v>6</v>
      </c>
      <c r="H30" s="21">
        <f t="shared" si="0"/>
        <v>0.58823529411764708</v>
      </c>
      <c r="P30" s="19"/>
      <c r="Q30" s="19"/>
      <c r="R30" s="19"/>
    </row>
    <row r="31" spans="2:18" outlineLevel="1" x14ac:dyDescent="0.25">
      <c r="F31" s="19"/>
      <c r="G31" s="19"/>
      <c r="H31" s="19"/>
      <c r="P31" s="19"/>
      <c r="Q31" s="19"/>
      <c r="R31" s="19"/>
    </row>
    <row r="32" spans="2:18" outlineLevel="1" x14ac:dyDescent="0.25">
      <c r="B32" s="3" t="s">
        <v>37</v>
      </c>
      <c r="F32" s="19">
        <f>F34-F30</f>
        <v>1050</v>
      </c>
      <c r="G32" s="20">
        <f>F32/J9</f>
        <v>4.2</v>
      </c>
      <c r="H32" s="25">
        <f t="shared" si="0"/>
        <v>0.41176470588235292</v>
      </c>
      <c r="L32" s="3" t="s">
        <v>23</v>
      </c>
      <c r="P32" s="19">
        <f>$G$14</f>
        <v>50</v>
      </c>
      <c r="Q32" s="20">
        <f>P32/$J$9</f>
        <v>0.2</v>
      </c>
      <c r="R32" s="25">
        <f t="shared" ref="R32" si="2">P32/$P$34</f>
        <v>1.9607843137254902E-2</v>
      </c>
    </row>
    <row r="33" spans="2:18" outlineLevel="1" x14ac:dyDescent="0.25">
      <c r="F33" s="19"/>
      <c r="G33" s="19"/>
      <c r="H33" s="19"/>
      <c r="P33" s="19"/>
      <c r="Q33" s="19"/>
      <c r="R33" s="19"/>
    </row>
    <row r="34" spans="2:18" outlineLevel="1" x14ac:dyDescent="0.25">
      <c r="B34" s="12" t="s">
        <v>38</v>
      </c>
      <c r="C34" s="12"/>
      <c r="D34" s="12"/>
      <c r="E34" s="12"/>
      <c r="F34" s="26">
        <f>$P$34</f>
        <v>2550</v>
      </c>
      <c r="G34" s="27">
        <f>$P$34/$J$9</f>
        <v>10.199999999999999</v>
      </c>
      <c r="H34" s="28">
        <f t="shared" si="0"/>
        <v>1</v>
      </c>
      <c r="L34" s="12" t="s">
        <v>39</v>
      </c>
      <c r="M34" s="12"/>
      <c r="N34" s="12"/>
      <c r="O34" s="12"/>
      <c r="P34" s="26">
        <f>P28+P29+P32</f>
        <v>2550</v>
      </c>
      <c r="Q34" s="27">
        <f>Q28+Q29+Q32</f>
        <v>10.199999999999999</v>
      </c>
      <c r="R34" s="28">
        <f t="shared" ref="R34" si="3">P34/$P$34</f>
        <v>1</v>
      </c>
    </row>
    <row r="36" spans="2:18" x14ac:dyDescent="0.25">
      <c r="B36" s="4" t="s">
        <v>9</v>
      </c>
      <c r="C36" s="4"/>
      <c r="D36" s="4"/>
      <c r="E36" s="4"/>
      <c r="F36" s="5"/>
      <c r="G36" s="5"/>
      <c r="H36" s="5"/>
      <c r="I36" s="5"/>
      <c r="J36" s="5"/>
      <c r="K36" s="5"/>
      <c r="L36" s="5"/>
      <c r="M36" s="5"/>
      <c r="N36" s="5"/>
      <c r="O36" s="5"/>
      <c r="P36" s="5"/>
      <c r="Q36" s="5"/>
      <c r="R36" s="5"/>
    </row>
    <row r="37" spans="2:18" ht="7.05" customHeight="1" x14ac:dyDescent="0.25"/>
    <row r="38" spans="2:18" x14ac:dyDescent="0.25">
      <c r="B38" s="6" t="s">
        <v>40</v>
      </c>
      <c r="C38" s="6"/>
      <c r="D38" s="7"/>
      <c r="E38" s="7"/>
      <c r="F38" s="7"/>
      <c r="G38" s="7"/>
      <c r="H38" s="7"/>
      <c r="I38" s="7"/>
      <c r="J38" s="7"/>
      <c r="K38" s="7"/>
      <c r="L38" s="7"/>
      <c r="M38" s="8" t="s">
        <v>41</v>
      </c>
      <c r="N38" s="8" t="s">
        <v>42</v>
      </c>
      <c r="O38" s="8" t="s">
        <v>43</v>
      </c>
      <c r="P38" s="8" t="s">
        <v>44</v>
      </c>
      <c r="Q38" s="8" t="s">
        <v>45</v>
      </c>
      <c r="R38" s="8" t="s">
        <v>58</v>
      </c>
    </row>
    <row r="39" spans="2:18" ht="7.05" customHeight="1" outlineLevel="1" x14ac:dyDescent="0.25"/>
    <row r="40" spans="2:18" outlineLevel="1" x14ac:dyDescent="0.25">
      <c r="B40" s="3" t="s">
        <v>11</v>
      </c>
      <c r="M40" s="29">
        <f>$J$8</f>
        <v>1000</v>
      </c>
      <c r="N40" s="3">
        <f>M$40*(1+N$41)</f>
        <v>1070</v>
      </c>
      <c r="O40" s="3">
        <f t="shared" ref="O40:R40" si="4">N$40*(1+O$41)</f>
        <v>1144.9000000000001</v>
      </c>
      <c r="P40" s="3">
        <f t="shared" si="4"/>
        <v>1225.0430000000001</v>
      </c>
      <c r="Q40" s="3">
        <f t="shared" si="4"/>
        <v>1310.7960100000003</v>
      </c>
      <c r="R40" s="3">
        <f t="shared" si="4"/>
        <v>1402.5517307000005</v>
      </c>
    </row>
    <row r="41" spans="2:18" outlineLevel="1" x14ac:dyDescent="0.25">
      <c r="B41" s="3" t="s">
        <v>46</v>
      </c>
      <c r="M41" s="29"/>
      <c r="N41" s="30">
        <f>$J$18</f>
        <v>7.0000000000000007E-2</v>
      </c>
      <c r="O41" s="30">
        <f t="shared" ref="O41:R41" si="5">$J$18</f>
        <v>7.0000000000000007E-2</v>
      </c>
      <c r="P41" s="30">
        <f t="shared" si="5"/>
        <v>7.0000000000000007E-2</v>
      </c>
      <c r="Q41" s="30">
        <f t="shared" si="5"/>
        <v>7.0000000000000007E-2</v>
      </c>
      <c r="R41" s="30">
        <f t="shared" si="5"/>
        <v>7.0000000000000007E-2</v>
      </c>
    </row>
    <row r="42" spans="2:18" outlineLevel="1" x14ac:dyDescent="0.25">
      <c r="M42" s="29"/>
    </row>
    <row r="43" spans="2:18" outlineLevel="1" x14ac:dyDescent="0.25">
      <c r="B43" s="3" t="s">
        <v>12</v>
      </c>
      <c r="M43" s="29">
        <f>$J$9</f>
        <v>250</v>
      </c>
      <c r="N43" s="3">
        <f>N$40*N$44</f>
        <v>278.2</v>
      </c>
      <c r="O43" s="3">
        <f t="shared" ref="O43:R43" si="6">O$40*O$44</f>
        <v>309.12300000000005</v>
      </c>
      <c r="P43" s="3">
        <f t="shared" si="6"/>
        <v>343.01204000000007</v>
      </c>
      <c r="Q43" s="3">
        <f t="shared" si="6"/>
        <v>380.13084290000012</v>
      </c>
      <c r="R43" s="3">
        <f t="shared" si="6"/>
        <v>420.76551921000021</v>
      </c>
    </row>
    <row r="44" spans="2:18" outlineLevel="1" x14ac:dyDescent="0.25">
      <c r="B44" s="3" t="s">
        <v>47</v>
      </c>
      <c r="M44" s="32">
        <f>M43/M40</f>
        <v>0.25</v>
      </c>
      <c r="N44" s="33">
        <f>M$44+$J$19</f>
        <v>0.26</v>
      </c>
      <c r="O44" s="33">
        <f t="shared" ref="O44:R44" si="7">N$44+$J$19</f>
        <v>0.27</v>
      </c>
      <c r="P44" s="33">
        <f t="shared" si="7"/>
        <v>0.28000000000000003</v>
      </c>
      <c r="Q44" s="33">
        <f t="shared" si="7"/>
        <v>0.29000000000000004</v>
      </c>
      <c r="R44" s="33">
        <f t="shared" si="7"/>
        <v>0.30000000000000004</v>
      </c>
    </row>
    <row r="45" spans="2:18" outlineLevel="1" x14ac:dyDescent="0.25">
      <c r="M45" s="29"/>
    </row>
    <row r="46" spans="2:18" outlineLevel="1" x14ac:dyDescent="0.25">
      <c r="B46" s="3" t="s">
        <v>48</v>
      </c>
      <c r="M46" s="29">
        <f>M43-M62</f>
        <v>200</v>
      </c>
      <c r="N46" s="3">
        <f>N43-N62</f>
        <v>224.7</v>
      </c>
      <c r="O46" s="3">
        <f t="shared" ref="O46:R46" si="8">O43-O62</f>
        <v>251.87800000000004</v>
      </c>
      <c r="P46" s="3">
        <f t="shared" si="8"/>
        <v>281.75989000000004</v>
      </c>
      <c r="Q46" s="3">
        <f t="shared" si="8"/>
        <v>314.59104240000011</v>
      </c>
      <c r="R46" s="3">
        <f t="shared" si="8"/>
        <v>350.63793267500017</v>
      </c>
    </row>
    <row r="47" spans="2:18" outlineLevel="1" x14ac:dyDescent="0.25">
      <c r="B47" s="3" t="s">
        <v>47</v>
      </c>
      <c r="M47" s="32">
        <f>M46/M40</f>
        <v>0.2</v>
      </c>
      <c r="N47" s="33">
        <f>N46/N40</f>
        <v>0.21</v>
      </c>
      <c r="O47" s="33">
        <f t="shared" ref="O47:R47" si="9">O46/O40</f>
        <v>0.22000000000000003</v>
      </c>
      <c r="P47" s="33">
        <f t="shared" si="9"/>
        <v>0.23</v>
      </c>
      <c r="Q47" s="33">
        <f t="shared" si="9"/>
        <v>0.24000000000000005</v>
      </c>
      <c r="R47" s="33">
        <f t="shared" si="9"/>
        <v>0.25000000000000006</v>
      </c>
    </row>
    <row r="48" spans="2:18" outlineLevel="1" x14ac:dyDescent="0.25">
      <c r="M48" s="29"/>
    </row>
    <row r="49" spans="2:18" ht="14.4" outlineLevel="1" x14ac:dyDescent="0.3">
      <c r="B49" s="3" t="s">
        <v>52</v>
      </c>
      <c r="M49" s="29"/>
      <c r="N49" s="37">
        <f>N$102</f>
        <v>120</v>
      </c>
      <c r="O49" s="37">
        <f t="shared" ref="O49:R49" si="10">O$102</f>
        <v>117.06222</v>
      </c>
      <c r="P49" s="37">
        <f t="shared" si="10"/>
        <v>112.838702028</v>
      </c>
      <c r="Q49" s="37">
        <f t="shared" si="10"/>
        <v>107.15026021812719</v>
      </c>
      <c r="R49" s="37">
        <f t="shared" si="10"/>
        <v>99.798279217706408</v>
      </c>
    </row>
    <row r="50" spans="2:18" outlineLevel="1" x14ac:dyDescent="0.25">
      <c r="M50" s="29"/>
    </row>
    <row r="51" spans="2:18" outlineLevel="1" x14ac:dyDescent="0.25">
      <c r="B51" s="3" t="s">
        <v>49</v>
      </c>
      <c r="M51" s="29"/>
      <c r="N51" s="3">
        <f>N46-N49</f>
        <v>104.69999999999999</v>
      </c>
      <c r="O51" s="3">
        <f t="shared" ref="O51:R51" si="11">O46-O49</f>
        <v>134.81578000000005</v>
      </c>
      <c r="P51" s="3">
        <f t="shared" si="11"/>
        <v>168.92118797200004</v>
      </c>
      <c r="Q51" s="3">
        <f t="shared" si="11"/>
        <v>207.44078218187292</v>
      </c>
      <c r="R51" s="3">
        <f t="shared" si="11"/>
        <v>250.83965345729376</v>
      </c>
    </row>
    <row r="52" spans="2:18" outlineLevel="1" x14ac:dyDescent="0.25">
      <c r="B52" s="3" t="s">
        <v>47</v>
      </c>
      <c r="M52" s="29"/>
      <c r="N52" s="33">
        <f>N51/N40</f>
        <v>9.785046728971962E-2</v>
      </c>
      <c r="O52" s="33">
        <f t="shared" ref="O52:R52" si="12">O51/O40</f>
        <v>0.11775332343436111</v>
      </c>
      <c r="P52" s="33">
        <f t="shared" si="12"/>
        <v>0.13789000710342414</v>
      </c>
      <c r="Q52" s="33">
        <f t="shared" si="12"/>
        <v>0.1582555795099444</v>
      </c>
      <c r="R52" s="33">
        <f t="shared" si="12"/>
        <v>0.17884520618152319</v>
      </c>
    </row>
    <row r="53" spans="2:18" outlineLevel="1" x14ac:dyDescent="0.25">
      <c r="M53" s="29"/>
    </row>
    <row r="54" spans="2:18" outlineLevel="1" x14ac:dyDescent="0.25">
      <c r="B54" s="3" t="s">
        <v>50</v>
      </c>
      <c r="M54" s="29"/>
      <c r="N54" s="3">
        <f>N$51*N$55</f>
        <v>21.986999999999998</v>
      </c>
      <c r="O54" s="3">
        <f t="shared" ref="O54:R54" si="13">O$51*O$55</f>
        <v>28.311313800000008</v>
      </c>
      <c r="P54" s="3">
        <f t="shared" si="13"/>
        <v>35.473449474120009</v>
      </c>
      <c r="Q54" s="3">
        <f t="shared" si="13"/>
        <v>43.562564258193312</v>
      </c>
      <c r="R54" s="3">
        <f t="shared" si="13"/>
        <v>52.676327226031688</v>
      </c>
    </row>
    <row r="55" spans="2:18" outlineLevel="1" x14ac:dyDescent="0.25">
      <c r="B55" s="3" t="s">
        <v>51</v>
      </c>
      <c r="M55" s="29"/>
      <c r="N55" s="33">
        <f>$J$20</f>
        <v>0.21</v>
      </c>
      <c r="O55" s="33">
        <f t="shared" ref="O55:R55" si="14">$J$20</f>
        <v>0.21</v>
      </c>
      <c r="P55" s="33">
        <f t="shared" si="14"/>
        <v>0.21</v>
      </c>
      <c r="Q55" s="33">
        <f t="shared" si="14"/>
        <v>0.21</v>
      </c>
      <c r="R55" s="33">
        <f t="shared" si="14"/>
        <v>0.21</v>
      </c>
    </row>
    <row r="56" spans="2:18" outlineLevel="1" x14ac:dyDescent="0.25">
      <c r="M56" s="29"/>
      <c r="N56" s="33"/>
      <c r="O56" s="33"/>
      <c r="P56" s="33"/>
      <c r="Q56" s="33"/>
      <c r="R56" s="33"/>
    </row>
    <row r="57" spans="2:18" outlineLevel="1" x14ac:dyDescent="0.25">
      <c r="B57" s="3" t="s">
        <v>59</v>
      </c>
      <c r="M57" s="29"/>
      <c r="N57" s="3">
        <f>N51-N54</f>
        <v>82.712999999999994</v>
      </c>
      <c r="O57" s="3">
        <f t="shared" ref="O57:R57" si="15">O51-O54</f>
        <v>106.50446620000004</v>
      </c>
      <c r="P57" s="3">
        <f t="shared" si="15"/>
        <v>133.44773849788004</v>
      </c>
      <c r="Q57" s="3">
        <f t="shared" si="15"/>
        <v>163.87821792367961</v>
      </c>
      <c r="R57" s="3">
        <f t="shared" si="15"/>
        <v>198.16332623126209</v>
      </c>
    </row>
    <row r="58" spans="2:18" outlineLevel="1" x14ac:dyDescent="0.25">
      <c r="B58" s="3" t="s">
        <v>47</v>
      </c>
      <c r="M58" s="29"/>
      <c r="N58" s="33">
        <f>N57/N40</f>
        <v>7.7301869158878503E-2</v>
      </c>
      <c r="O58" s="33">
        <f t="shared" ref="O58:R58" si="16">O57/O40</f>
        <v>9.3025125513145276E-2</v>
      </c>
      <c r="P58" s="33">
        <f t="shared" si="16"/>
        <v>0.10893310561170508</v>
      </c>
      <c r="Q58" s="33">
        <f t="shared" si="16"/>
        <v>0.12502190781285608</v>
      </c>
      <c r="R58" s="33">
        <f t="shared" si="16"/>
        <v>0.14128771288340333</v>
      </c>
    </row>
    <row r="60" spans="2:18" x14ac:dyDescent="0.25">
      <c r="B60" s="6" t="s">
        <v>53</v>
      </c>
      <c r="C60" s="6"/>
      <c r="D60" s="7"/>
      <c r="E60" s="7"/>
      <c r="F60" s="7"/>
      <c r="G60" s="7"/>
      <c r="H60" s="7"/>
      <c r="I60" s="7"/>
      <c r="J60" s="7"/>
      <c r="K60" s="7"/>
      <c r="L60" s="7"/>
      <c r="M60" s="8" t="s">
        <v>41</v>
      </c>
      <c r="N60" s="8" t="s">
        <v>42</v>
      </c>
      <c r="O60" s="8" t="s">
        <v>43</v>
      </c>
      <c r="P60" s="8" t="s">
        <v>44</v>
      </c>
      <c r="Q60" s="8" t="s">
        <v>45</v>
      </c>
      <c r="R60" s="8" t="s">
        <v>58</v>
      </c>
    </row>
    <row r="61" spans="2:18" ht="7.05" customHeight="1" outlineLevel="1" x14ac:dyDescent="0.25"/>
    <row r="62" spans="2:18" outlineLevel="1" x14ac:dyDescent="0.25">
      <c r="B62" s="3" t="s">
        <v>54</v>
      </c>
      <c r="M62" s="29">
        <f>$J$10</f>
        <v>50</v>
      </c>
      <c r="N62" s="3">
        <f>N$40*N$63</f>
        <v>53.5</v>
      </c>
      <c r="O62" s="3">
        <f t="shared" ref="O62:R62" si="17">O$40*O$63</f>
        <v>57.245000000000005</v>
      </c>
      <c r="P62" s="3">
        <f t="shared" si="17"/>
        <v>61.252150000000007</v>
      </c>
      <c r="Q62" s="3">
        <f t="shared" si="17"/>
        <v>65.539800500000013</v>
      </c>
      <c r="R62" s="3">
        <f t="shared" si="17"/>
        <v>70.12758653500002</v>
      </c>
    </row>
    <row r="63" spans="2:18" outlineLevel="1" x14ac:dyDescent="0.25">
      <c r="B63" s="3" t="s">
        <v>47</v>
      </c>
      <c r="M63" s="32">
        <f>M62/M40</f>
        <v>0.05</v>
      </c>
      <c r="N63" s="33">
        <f>$M$63</f>
        <v>0.05</v>
      </c>
      <c r="O63" s="33">
        <f t="shared" ref="O63:R63" si="18">$M$63</f>
        <v>0.05</v>
      </c>
      <c r="P63" s="33">
        <f t="shared" si="18"/>
        <v>0.05</v>
      </c>
      <c r="Q63" s="33">
        <f t="shared" si="18"/>
        <v>0.05</v>
      </c>
      <c r="R63" s="33">
        <f t="shared" si="18"/>
        <v>0.05</v>
      </c>
    </row>
    <row r="64" spans="2:18" outlineLevel="1" x14ac:dyDescent="0.25">
      <c r="M64" s="29"/>
    </row>
    <row r="65" spans="2:18" outlineLevel="1" x14ac:dyDescent="0.25">
      <c r="B65" s="3" t="s">
        <v>55</v>
      </c>
      <c r="M65" s="29">
        <f>$J$12</f>
        <v>100</v>
      </c>
      <c r="N65" s="3">
        <f>N$40*N$66</f>
        <v>107</v>
      </c>
      <c r="O65" s="3">
        <f t="shared" ref="O65:R65" si="19">O$40*O$66</f>
        <v>114.49000000000001</v>
      </c>
      <c r="P65" s="3">
        <f t="shared" si="19"/>
        <v>122.50430000000001</v>
      </c>
      <c r="Q65" s="3">
        <f t="shared" si="19"/>
        <v>131.07960100000003</v>
      </c>
      <c r="R65" s="3">
        <f t="shared" si="19"/>
        <v>140.25517307000004</v>
      </c>
    </row>
    <row r="66" spans="2:18" outlineLevel="1" x14ac:dyDescent="0.25">
      <c r="B66" s="3" t="s">
        <v>47</v>
      </c>
      <c r="M66" s="32">
        <f>M65/M40</f>
        <v>0.1</v>
      </c>
      <c r="N66" s="33">
        <f>$M$66</f>
        <v>0.1</v>
      </c>
      <c r="O66" s="33">
        <f t="shared" ref="O66:R66" si="20">$M$66</f>
        <v>0.1</v>
      </c>
      <c r="P66" s="33">
        <f t="shared" si="20"/>
        <v>0.1</v>
      </c>
      <c r="Q66" s="33">
        <f t="shared" si="20"/>
        <v>0.1</v>
      </c>
      <c r="R66" s="33">
        <f t="shared" si="20"/>
        <v>0.1</v>
      </c>
    </row>
    <row r="67" spans="2:18" outlineLevel="1" x14ac:dyDescent="0.25">
      <c r="M67" s="29"/>
    </row>
    <row r="68" spans="2:18" outlineLevel="1" x14ac:dyDescent="0.25">
      <c r="B68" s="3" t="s">
        <v>56</v>
      </c>
      <c r="M68" s="29"/>
      <c r="N68" s="3">
        <f>N65-M65</f>
        <v>7</v>
      </c>
      <c r="O68" s="3">
        <f t="shared" ref="O68:R68" si="21">O65-N65</f>
        <v>7.4900000000000091</v>
      </c>
      <c r="P68" s="3">
        <f t="shared" si="21"/>
        <v>8.0143000000000058</v>
      </c>
      <c r="Q68" s="3">
        <f t="shared" si="21"/>
        <v>8.5753010000000103</v>
      </c>
      <c r="R68" s="3">
        <f t="shared" si="21"/>
        <v>9.1755720700000154</v>
      </c>
    </row>
    <row r="69" spans="2:18" outlineLevel="1" x14ac:dyDescent="0.25">
      <c r="M69" s="29"/>
    </row>
    <row r="70" spans="2:18" outlineLevel="1" x14ac:dyDescent="0.25">
      <c r="B70" s="3" t="s">
        <v>57</v>
      </c>
      <c r="M70" s="29">
        <f>$J$11</f>
        <v>75</v>
      </c>
      <c r="N70" s="3">
        <f>N$40*N$71</f>
        <v>80.25</v>
      </c>
      <c r="O70" s="3">
        <f t="shared" ref="O70:R70" si="22">O$40*O$71</f>
        <v>85.867500000000007</v>
      </c>
      <c r="P70" s="3">
        <f t="shared" si="22"/>
        <v>91.878225</v>
      </c>
      <c r="Q70" s="3">
        <f t="shared" si="22"/>
        <v>98.309700750000019</v>
      </c>
      <c r="R70" s="3">
        <f t="shared" si="22"/>
        <v>105.19137980250004</v>
      </c>
    </row>
    <row r="71" spans="2:18" outlineLevel="1" x14ac:dyDescent="0.25">
      <c r="B71" s="3" t="s">
        <v>47</v>
      </c>
      <c r="M71" s="33">
        <f>M70/M40</f>
        <v>7.4999999999999997E-2</v>
      </c>
      <c r="N71" s="34">
        <f>$M$71</f>
        <v>7.4999999999999997E-2</v>
      </c>
      <c r="O71" s="33">
        <f t="shared" ref="O71:R71" si="23">$M$71</f>
        <v>7.4999999999999997E-2</v>
      </c>
      <c r="P71" s="33">
        <f t="shared" si="23"/>
        <v>7.4999999999999997E-2</v>
      </c>
      <c r="Q71" s="33">
        <f t="shared" si="23"/>
        <v>7.4999999999999997E-2</v>
      </c>
      <c r="R71" s="33">
        <f t="shared" si="23"/>
        <v>7.4999999999999997E-2</v>
      </c>
    </row>
    <row r="73" spans="2:18" x14ac:dyDescent="0.25">
      <c r="B73" s="6" t="s">
        <v>60</v>
      </c>
      <c r="C73" s="6"/>
      <c r="D73" s="7"/>
      <c r="E73" s="7"/>
      <c r="F73" s="7"/>
      <c r="G73" s="7"/>
      <c r="H73" s="7"/>
      <c r="I73" s="7"/>
      <c r="J73" s="7"/>
      <c r="K73" s="7"/>
      <c r="L73" s="7"/>
      <c r="M73" s="8" t="s">
        <v>41</v>
      </c>
      <c r="N73" s="8" t="s">
        <v>42</v>
      </c>
      <c r="O73" s="8" t="s">
        <v>43</v>
      </c>
      <c r="P73" s="8" t="s">
        <v>44</v>
      </c>
      <c r="Q73" s="8" t="s">
        <v>45</v>
      </c>
      <c r="R73" s="8" t="s">
        <v>58</v>
      </c>
    </row>
    <row r="74" spans="2:18" ht="7.05" customHeight="1" outlineLevel="1" x14ac:dyDescent="0.25"/>
    <row r="75" spans="2:18" outlineLevel="1" x14ac:dyDescent="0.25">
      <c r="B75" s="3" t="s">
        <v>59</v>
      </c>
      <c r="M75" s="29"/>
      <c r="N75" s="3">
        <f>N57</f>
        <v>82.712999999999994</v>
      </c>
      <c r="O75" s="3">
        <f t="shared" ref="O75:R75" si="24">O57</f>
        <v>106.50446620000004</v>
      </c>
      <c r="P75" s="3">
        <f t="shared" si="24"/>
        <v>133.44773849788004</v>
      </c>
      <c r="Q75" s="3">
        <f t="shared" si="24"/>
        <v>163.87821792367961</v>
      </c>
      <c r="R75" s="3">
        <f t="shared" si="24"/>
        <v>198.16332623126209</v>
      </c>
    </row>
    <row r="76" spans="2:18" outlineLevel="1" x14ac:dyDescent="0.25">
      <c r="B76" s="3" t="s">
        <v>54</v>
      </c>
      <c r="M76" s="29"/>
      <c r="N76" s="3">
        <f>N62</f>
        <v>53.5</v>
      </c>
      <c r="O76" s="3">
        <f t="shared" ref="O76:R76" si="25">O62</f>
        <v>57.245000000000005</v>
      </c>
      <c r="P76" s="3">
        <f t="shared" si="25"/>
        <v>61.252150000000007</v>
      </c>
      <c r="Q76" s="3">
        <f t="shared" si="25"/>
        <v>65.539800500000013</v>
      </c>
      <c r="R76" s="3">
        <f t="shared" si="25"/>
        <v>70.12758653500002</v>
      </c>
    </row>
    <row r="77" spans="2:18" outlineLevel="1" x14ac:dyDescent="0.25">
      <c r="B77" s="3" t="s">
        <v>57</v>
      </c>
      <c r="M77" s="29"/>
      <c r="N77" s="3">
        <f>N70</f>
        <v>80.25</v>
      </c>
      <c r="O77" s="3">
        <f t="shared" ref="O77:R77" si="26">O70</f>
        <v>85.867500000000007</v>
      </c>
      <c r="P77" s="3">
        <f t="shared" si="26"/>
        <v>91.878225</v>
      </c>
      <c r="Q77" s="3">
        <f t="shared" si="26"/>
        <v>98.309700750000019</v>
      </c>
      <c r="R77" s="3">
        <f t="shared" si="26"/>
        <v>105.19137980250004</v>
      </c>
    </row>
    <row r="78" spans="2:18" outlineLevel="1" x14ac:dyDescent="0.25">
      <c r="B78" s="3" t="s">
        <v>61</v>
      </c>
      <c r="M78" s="29"/>
      <c r="N78" s="3">
        <f>N68</f>
        <v>7</v>
      </c>
      <c r="O78" s="3">
        <f t="shared" ref="O78:R78" si="27">O68</f>
        <v>7.4900000000000091</v>
      </c>
      <c r="P78" s="3">
        <f t="shared" si="27"/>
        <v>8.0143000000000058</v>
      </c>
      <c r="Q78" s="3">
        <f t="shared" si="27"/>
        <v>8.5753010000000103</v>
      </c>
      <c r="R78" s="3">
        <f t="shared" si="27"/>
        <v>9.1755720700000154</v>
      </c>
    </row>
    <row r="79" spans="2:18" ht="7.05" customHeight="1" outlineLevel="1" x14ac:dyDescent="0.25"/>
    <row r="80" spans="2:18" outlineLevel="1" x14ac:dyDescent="0.25">
      <c r="B80" s="12" t="s">
        <v>60</v>
      </c>
      <c r="C80" s="35"/>
      <c r="D80" s="35"/>
      <c r="E80" s="35"/>
      <c r="F80" s="35"/>
      <c r="G80" s="35"/>
      <c r="H80" s="35"/>
      <c r="I80" s="35"/>
      <c r="J80" s="35"/>
      <c r="K80" s="35"/>
      <c r="L80" s="35"/>
      <c r="M80" s="35"/>
      <c r="N80" s="12">
        <f>N75+N76-N77-N78</f>
        <v>48.962999999999994</v>
      </c>
      <c r="O80" s="12">
        <f t="shared" ref="O80:R80" si="28">O75+O76-O77-O78</f>
        <v>70.391966200000013</v>
      </c>
      <c r="P80" s="12">
        <f t="shared" si="28"/>
        <v>94.807363497880033</v>
      </c>
      <c r="Q80" s="12">
        <f t="shared" si="28"/>
        <v>122.5330166736796</v>
      </c>
      <c r="R80" s="12">
        <f t="shared" si="28"/>
        <v>153.92396089376209</v>
      </c>
    </row>
    <row r="82" spans="2:18" x14ac:dyDescent="0.25">
      <c r="B82" s="4" t="s">
        <v>62</v>
      </c>
      <c r="C82" s="4"/>
      <c r="D82" s="4"/>
      <c r="E82" s="4"/>
      <c r="F82" s="4"/>
      <c r="G82" s="4"/>
      <c r="H82" s="4"/>
      <c r="I82" s="4"/>
      <c r="J82" s="4"/>
      <c r="K82" s="4"/>
      <c r="L82" s="4"/>
      <c r="M82" s="4"/>
      <c r="N82" s="4"/>
      <c r="O82" s="4"/>
      <c r="P82" s="4"/>
      <c r="Q82" s="4"/>
      <c r="R82" s="4"/>
    </row>
    <row r="83" spans="2:18" ht="7.05" customHeight="1" outlineLevel="1" x14ac:dyDescent="0.25"/>
    <row r="84" spans="2:18" outlineLevel="1" x14ac:dyDescent="0.25">
      <c r="B84" s="7"/>
      <c r="C84" s="7"/>
      <c r="D84" s="7"/>
      <c r="E84" s="7"/>
      <c r="F84" s="7"/>
      <c r="G84" s="7"/>
      <c r="H84" s="7"/>
      <c r="I84" s="7"/>
      <c r="J84" s="7"/>
      <c r="K84" s="7"/>
      <c r="L84" s="7"/>
      <c r="M84" s="8" t="s">
        <v>41</v>
      </c>
      <c r="N84" s="8" t="s">
        <v>42</v>
      </c>
      <c r="O84" s="8" t="s">
        <v>43</v>
      </c>
      <c r="P84" s="8" t="s">
        <v>44</v>
      </c>
      <c r="Q84" s="8" t="s">
        <v>45</v>
      </c>
      <c r="R84" s="8" t="s">
        <v>58</v>
      </c>
    </row>
    <row r="85" spans="2:18" ht="7.05" customHeight="1" outlineLevel="1" x14ac:dyDescent="0.25"/>
    <row r="86" spans="2:18" outlineLevel="1" x14ac:dyDescent="0.25">
      <c r="B86" s="9" t="s">
        <v>19</v>
      </c>
      <c r="M86" s="29"/>
    </row>
    <row r="87" spans="2:18" outlineLevel="1" x14ac:dyDescent="0.25">
      <c r="B87" s="36" t="s">
        <v>63</v>
      </c>
      <c r="M87" s="29"/>
      <c r="N87" s="3">
        <f>M$91</f>
        <v>1000</v>
      </c>
      <c r="O87" s="3">
        <f t="shared" ref="O87:R87" si="29">N$91</f>
        <v>951.03700000000003</v>
      </c>
      <c r="P87" s="3">
        <f t="shared" si="29"/>
        <v>880.64503379999996</v>
      </c>
      <c r="Q87" s="3">
        <f t="shared" si="29"/>
        <v>785.83767030211993</v>
      </c>
      <c r="R87" s="3">
        <f t="shared" si="29"/>
        <v>663.30465362844029</v>
      </c>
    </row>
    <row r="88" spans="2:18" outlineLevel="1" x14ac:dyDescent="0.25">
      <c r="B88" s="36" t="s">
        <v>52</v>
      </c>
      <c r="M88" s="29"/>
      <c r="N88" s="3">
        <f>N$87*$R$7</f>
        <v>60</v>
      </c>
      <c r="O88" s="3">
        <f>O$87*$R$7</f>
        <v>57.062220000000003</v>
      </c>
      <c r="P88" s="3">
        <f>P$87*$R$7</f>
        <v>52.838702027999993</v>
      </c>
      <c r="Q88" s="3">
        <f>Q$87*$R$7</f>
        <v>47.150260218127194</v>
      </c>
      <c r="R88" s="3">
        <f>R$87*$R$7</f>
        <v>39.798279217706416</v>
      </c>
    </row>
    <row r="89" spans="2:18" outlineLevel="1" x14ac:dyDescent="0.25">
      <c r="B89" s="36" t="s">
        <v>64</v>
      </c>
      <c r="M89" s="29"/>
      <c r="N89" s="3">
        <f>MIN(N$80,N$87)</f>
        <v>48.962999999999994</v>
      </c>
      <c r="O89" s="3">
        <f t="shared" ref="O89:R89" si="30">MIN(O$80,O$87)</f>
        <v>70.391966200000013</v>
      </c>
      <c r="P89" s="3">
        <f t="shared" si="30"/>
        <v>94.807363497880033</v>
      </c>
      <c r="Q89" s="3">
        <f t="shared" si="30"/>
        <v>122.5330166736796</v>
      </c>
      <c r="R89" s="3">
        <f t="shared" si="30"/>
        <v>153.92396089376209</v>
      </c>
    </row>
    <row r="90" spans="2:18" ht="7.05" customHeight="1" outlineLevel="1" x14ac:dyDescent="0.25"/>
    <row r="91" spans="2:18" outlineLevel="1" x14ac:dyDescent="0.25">
      <c r="B91" s="12" t="s">
        <v>65</v>
      </c>
      <c r="C91" s="35"/>
      <c r="D91" s="35"/>
      <c r="E91" s="35"/>
      <c r="F91" s="35"/>
      <c r="G91" s="35"/>
      <c r="H91" s="35"/>
      <c r="I91" s="35"/>
      <c r="J91" s="35"/>
      <c r="K91" s="35"/>
      <c r="L91" s="35"/>
      <c r="M91" s="12">
        <f>$F$28</f>
        <v>1000</v>
      </c>
      <c r="N91" s="12">
        <f>N87-N89</f>
        <v>951.03700000000003</v>
      </c>
      <c r="O91" s="12">
        <f t="shared" ref="O91:R91" si="31">O87-O89</f>
        <v>880.64503379999996</v>
      </c>
      <c r="P91" s="12">
        <f t="shared" si="31"/>
        <v>785.83767030211993</v>
      </c>
      <c r="Q91" s="12">
        <f t="shared" si="31"/>
        <v>663.30465362844029</v>
      </c>
      <c r="R91" s="12">
        <f t="shared" si="31"/>
        <v>509.38069273467818</v>
      </c>
    </row>
    <row r="92" spans="2:18" ht="7.05" customHeight="1" outlineLevel="1" x14ac:dyDescent="0.25"/>
    <row r="93" spans="2:18" outlineLevel="1" x14ac:dyDescent="0.25">
      <c r="B93" s="9" t="s">
        <v>20</v>
      </c>
      <c r="M93" s="29"/>
    </row>
    <row r="94" spans="2:18" outlineLevel="1" x14ac:dyDescent="0.25">
      <c r="B94" s="36" t="s">
        <v>63</v>
      </c>
      <c r="M94" s="29"/>
      <c r="N94" s="3">
        <f>M$98</f>
        <v>500</v>
      </c>
      <c r="O94" s="3">
        <f t="shared" ref="O94:R94" si="32">N$98</f>
        <v>500</v>
      </c>
      <c r="P94" s="3">
        <f t="shared" si="32"/>
        <v>500</v>
      </c>
      <c r="Q94" s="3">
        <f t="shared" si="32"/>
        <v>500</v>
      </c>
      <c r="R94" s="3">
        <f t="shared" si="32"/>
        <v>500</v>
      </c>
    </row>
    <row r="95" spans="2:18" outlineLevel="1" x14ac:dyDescent="0.25">
      <c r="B95" s="36" t="s">
        <v>52</v>
      </c>
      <c r="M95" s="29"/>
      <c r="N95" s="3">
        <f>N$94*$R$8</f>
        <v>60</v>
      </c>
      <c r="O95" s="3">
        <f t="shared" ref="O95:R95" si="33">O$94*$R$8</f>
        <v>60</v>
      </c>
      <c r="P95" s="3">
        <f t="shared" si="33"/>
        <v>60</v>
      </c>
      <c r="Q95" s="3">
        <f t="shared" si="33"/>
        <v>60</v>
      </c>
      <c r="R95" s="3">
        <f t="shared" si="33"/>
        <v>60</v>
      </c>
    </row>
    <row r="96" spans="2:18" outlineLevel="1" x14ac:dyDescent="0.25">
      <c r="B96" s="36" t="s">
        <v>64</v>
      </c>
      <c r="M96" s="29"/>
      <c r="N96" s="3">
        <f>MIN(N80,N80-N89)</f>
        <v>0</v>
      </c>
      <c r="O96" s="3">
        <f t="shared" ref="O96:R96" si="34">MIN(O80,O80-O89)</f>
        <v>0</v>
      </c>
      <c r="P96" s="3">
        <f t="shared" si="34"/>
        <v>0</v>
      </c>
      <c r="Q96" s="3">
        <f t="shared" si="34"/>
        <v>0</v>
      </c>
      <c r="R96" s="3">
        <f t="shared" si="34"/>
        <v>0</v>
      </c>
    </row>
    <row r="97" spans="2:18" ht="7.05" customHeight="1" outlineLevel="1" x14ac:dyDescent="0.25"/>
    <row r="98" spans="2:18" outlineLevel="1" x14ac:dyDescent="0.25">
      <c r="B98" s="12" t="s">
        <v>65</v>
      </c>
      <c r="C98" s="35"/>
      <c r="D98" s="35"/>
      <c r="E98" s="35"/>
      <c r="F98" s="35"/>
      <c r="G98" s="35"/>
      <c r="H98" s="35"/>
      <c r="I98" s="35"/>
      <c r="J98" s="35"/>
      <c r="K98" s="35"/>
      <c r="L98" s="35"/>
      <c r="M98" s="12">
        <f>$F$29</f>
        <v>500</v>
      </c>
      <c r="N98" s="12">
        <f>N94-N96</f>
        <v>500</v>
      </c>
      <c r="O98" s="12">
        <f t="shared" ref="O98:R98" si="35">O94-O96</f>
        <v>500</v>
      </c>
      <c r="P98" s="12">
        <f t="shared" si="35"/>
        <v>500</v>
      </c>
      <c r="Q98" s="12">
        <f t="shared" si="35"/>
        <v>500</v>
      </c>
      <c r="R98" s="12">
        <f t="shared" si="35"/>
        <v>500</v>
      </c>
    </row>
    <row r="99" spans="2:18" ht="7.05" customHeight="1" outlineLevel="1" x14ac:dyDescent="0.25"/>
    <row r="100" spans="2:18" outlineLevel="1" x14ac:dyDescent="0.25">
      <c r="B100" s="9" t="s">
        <v>36</v>
      </c>
      <c r="M100" s="29"/>
    </row>
    <row r="101" spans="2:18" outlineLevel="1" x14ac:dyDescent="0.25">
      <c r="B101" s="36" t="s">
        <v>63</v>
      </c>
      <c r="M101" s="29"/>
      <c r="N101" s="3">
        <f>N87+N94</f>
        <v>1500</v>
      </c>
      <c r="O101" s="3">
        <f t="shared" ref="O101:R101" si="36">O87+O94</f>
        <v>1451.037</v>
      </c>
      <c r="P101" s="3">
        <f t="shared" si="36"/>
        <v>1380.6450338</v>
      </c>
      <c r="Q101" s="3">
        <f t="shared" si="36"/>
        <v>1285.8376703021199</v>
      </c>
      <c r="R101" s="3">
        <f t="shared" si="36"/>
        <v>1163.3046536284403</v>
      </c>
    </row>
    <row r="102" spans="2:18" outlineLevel="1" x14ac:dyDescent="0.25">
      <c r="B102" s="36" t="s">
        <v>52</v>
      </c>
      <c r="M102" s="29"/>
      <c r="N102" s="3">
        <f t="shared" ref="N102:R102" si="37">N88+N95</f>
        <v>120</v>
      </c>
      <c r="O102" s="3">
        <f t="shared" si="37"/>
        <v>117.06222</v>
      </c>
      <c r="P102" s="3">
        <f t="shared" si="37"/>
        <v>112.838702028</v>
      </c>
      <c r="Q102" s="3">
        <f t="shared" si="37"/>
        <v>107.15026021812719</v>
      </c>
      <c r="R102" s="3">
        <f t="shared" si="37"/>
        <v>99.798279217706408</v>
      </c>
    </row>
    <row r="103" spans="2:18" outlineLevel="1" x14ac:dyDescent="0.25">
      <c r="B103" s="36" t="s">
        <v>64</v>
      </c>
      <c r="M103" s="29"/>
      <c r="N103" s="3">
        <f t="shared" ref="N103:R103" si="38">N89+N96</f>
        <v>48.962999999999994</v>
      </c>
      <c r="O103" s="3">
        <f t="shared" si="38"/>
        <v>70.391966200000013</v>
      </c>
      <c r="P103" s="3">
        <f t="shared" si="38"/>
        <v>94.807363497880033</v>
      </c>
      <c r="Q103" s="3">
        <f t="shared" si="38"/>
        <v>122.5330166736796</v>
      </c>
      <c r="R103" s="3">
        <f t="shared" si="38"/>
        <v>153.92396089376209</v>
      </c>
    </row>
    <row r="104" spans="2:18" ht="7.05" customHeight="1" outlineLevel="1" x14ac:dyDescent="0.25"/>
    <row r="105" spans="2:18" outlineLevel="1" x14ac:dyDescent="0.25">
      <c r="B105" s="12" t="s">
        <v>65</v>
      </c>
      <c r="C105" s="35"/>
      <c r="D105" s="35"/>
      <c r="E105" s="35"/>
      <c r="F105" s="35"/>
      <c r="G105" s="35"/>
      <c r="H105" s="35"/>
      <c r="I105" s="35"/>
      <c r="J105" s="35"/>
      <c r="K105" s="35"/>
      <c r="L105" s="35"/>
      <c r="M105" s="12">
        <f>M91+M98</f>
        <v>1500</v>
      </c>
      <c r="N105" s="12">
        <f t="shared" ref="N105:R105" si="39">N91+N98</f>
        <v>1451.037</v>
      </c>
      <c r="O105" s="12">
        <f t="shared" si="39"/>
        <v>1380.6450338</v>
      </c>
      <c r="P105" s="12">
        <f t="shared" si="39"/>
        <v>1285.8376703021199</v>
      </c>
      <c r="Q105" s="12">
        <f t="shared" si="39"/>
        <v>1163.3046536284403</v>
      </c>
      <c r="R105" s="12">
        <f t="shared" si="39"/>
        <v>1009.3806927346782</v>
      </c>
    </row>
    <row r="107" spans="2:18" x14ac:dyDescent="0.25">
      <c r="B107" s="4" t="s">
        <v>22</v>
      </c>
      <c r="C107" s="4"/>
      <c r="D107" s="4"/>
      <c r="E107" s="4"/>
      <c r="F107" s="4"/>
      <c r="G107" s="4"/>
      <c r="H107" s="4"/>
      <c r="I107" s="4"/>
      <c r="J107" s="4"/>
      <c r="K107" s="4"/>
      <c r="L107" s="4"/>
      <c r="M107" s="4"/>
      <c r="N107" s="4"/>
      <c r="O107" s="4"/>
      <c r="P107" s="4"/>
      <c r="Q107" s="4"/>
      <c r="R107" s="4"/>
    </row>
    <row r="108" spans="2:18" ht="7.05" customHeight="1" outlineLevel="1" x14ac:dyDescent="0.25"/>
    <row r="109" spans="2:18" outlineLevel="1" x14ac:dyDescent="0.25">
      <c r="B109" s="3" t="s">
        <v>66</v>
      </c>
      <c r="R109" s="3">
        <f>R43</f>
        <v>420.76551921000021</v>
      </c>
    </row>
    <row r="110" spans="2:18" outlineLevel="1" x14ac:dyDescent="0.25">
      <c r="B110" s="38" t="s">
        <v>67</v>
      </c>
      <c r="C110" s="38"/>
      <c r="D110" s="38"/>
      <c r="E110" s="38"/>
      <c r="F110" s="38"/>
      <c r="G110" s="38"/>
      <c r="H110" s="38"/>
      <c r="I110" s="38"/>
      <c r="J110" s="38"/>
      <c r="K110" s="38"/>
      <c r="L110" s="38"/>
      <c r="M110" s="38"/>
      <c r="N110" s="38"/>
      <c r="O110" s="38"/>
      <c r="P110" s="38"/>
      <c r="Q110" s="38"/>
      <c r="R110" s="41">
        <f>$G$18</f>
        <v>10</v>
      </c>
    </row>
    <row r="111" spans="2:18" outlineLevel="1" x14ac:dyDescent="0.25">
      <c r="B111" s="3" t="s">
        <v>6</v>
      </c>
      <c r="R111" s="3">
        <f>R109*R110</f>
        <v>4207.6551921000018</v>
      </c>
    </row>
    <row r="112" spans="2:18" outlineLevel="1" x14ac:dyDescent="0.25">
      <c r="B112" s="3" t="s">
        <v>68</v>
      </c>
      <c r="R112" s="3">
        <f>R105</f>
        <v>1009.3806927346782</v>
      </c>
    </row>
    <row r="113" spans="2:18" ht="7.05" customHeight="1" outlineLevel="1" x14ac:dyDescent="0.25"/>
    <row r="114" spans="2:18" outlineLevel="1" x14ac:dyDescent="0.25">
      <c r="B114" s="90" t="s">
        <v>69</v>
      </c>
      <c r="C114" s="90"/>
      <c r="D114" s="35"/>
      <c r="E114" s="35"/>
      <c r="F114" s="35"/>
      <c r="G114" s="35"/>
      <c r="H114" s="35"/>
      <c r="I114" s="35"/>
      <c r="J114" s="35"/>
      <c r="K114" s="35"/>
      <c r="L114" s="35"/>
      <c r="M114" s="35"/>
      <c r="N114" s="35"/>
      <c r="O114" s="35"/>
      <c r="P114" s="35"/>
      <c r="Q114" s="35"/>
      <c r="R114" s="12">
        <f>R111-R112</f>
        <v>3198.2744993653237</v>
      </c>
    </row>
    <row r="115" spans="2:18" outlineLevel="1" x14ac:dyDescent="0.25"/>
    <row r="116" spans="2:18" outlineLevel="1" x14ac:dyDescent="0.25">
      <c r="B116" s="89" t="s">
        <v>70</v>
      </c>
      <c r="C116" s="89"/>
      <c r="R116" s="3">
        <f>$F$32</f>
        <v>1050</v>
      </c>
    </row>
    <row r="117" spans="2:18" outlineLevel="1" x14ac:dyDescent="0.25"/>
    <row r="118" spans="2:18" outlineLevel="1" x14ac:dyDescent="0.25">
      <c r="B118" s="12" t="s">
        <v>71</v>
      </c>
      <c r="C118" s="35"/>
      <c r="D118" s="35"/>
      <c r="E118" s="35"/>
      <c r="F118" s="35"/>
      <c r="G118" s="35"/>
      <c r="H118" s="35"/>
      <c r="I118" s="35"/>
      <c r="J118" s="35"/>
      <c r="K118" s="35"/>
      <c r="L118" s="35"/>
      <c r="M118" s="35"/>
      <c r="N118" s="35"/>
      <c r="O118" s="35"/>
      <c r="P118" s="35"/>
      <c r="Q118" s="35"/>
      <c r="R118" s="42">
        <f>R114/R116</f>
        <v>3.0459757136812606</v>
      </c>
    </row>
    <row r="119" spans="2:18" outlineLevel="1" x14ac:dyDescent="0.25">
      <c r="B119" s="12" t="s">
        <v>22</v>
      </c>
      <c r="C119" s="35"/>
      <c r="D119" s="35"/>
      <c r="E119" s="35"/>
      <c r="F119" s="35"/>
      <c r="G119" s="35"/>
      <c r="H119" s="35"/>
      <c r="I119" s="35"/>
      <c r="J119" s="35"/>
      <c r="K119" s="35"/>
      <c r="L119" s="35"/>
      <c r="M119" s="35"/>
      <c r="N119" s="35"/>
      <c r="O119" s="35"/>
      <c r="P119" s="35"/>
      <c r="Q119" s="35"/>
      <c r="R119" s="43">
        <f>R118^(1/5)-1</f>
        <v>0.24952597107560948</v>
      </c>
    </row>
  </sheetData>
  <mergeCells count="3">
    <mergeCell ref="F1:R1"/>
    <mergeCell ref="B116:C116"/>
    <mergeCell ref="B114:C114"/>
  </mergeCells>
  <printOptions horizontalCentered="1" verticalCentered="1"/>
  <pageMargins left="0" right="0" top="0" bottom="0" header="0" footer="0"/>
  <pageSetup paperSize="9" scale="53" orientation="portrait" horizontalDpi="1200" verticalDpi="1200" r:id="rId1"/>
  <headerFooter>
    <oddHeader>&amp;C&amp;"MS Mincho,Regular"&amp;36LBO MODEL</oddHeader>
  </headerFooter>
  <colBreaks count="1" manualBreakCount="1">
    <brk id="18"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F247A-74D2-4460-9E9F-23C1509A68E7}">
  <sheetPr>
    <tabColor rgb="FFFF0000"/>
  </sheetPr>
  <dimension ref="A1:P22"/>
  <sheetViews>
    <sheetView tabSelected="1" workbookViewId="0"/>
  </sheetViews>
  <sheetFormatPr defaultRowHeight="14.4" x14ac:dyDescent="0.3"/>
  <cols>
    <col min="1" max="1" width="2" style="1" customWidth="1"/>
    <col min="2" max="16384" width="8.88671875" style="1"/>
  </cols>
  <sheetData>
    <row r="1" spans="2:16" ht="14.4" customHeight="1" x14ac:dyDescent="0.3">
      <c r="B1" s="91" t="s">
        <v>82</v>
      </c>
      <c r="C1" s="91"/>
      <c r="D1" s="91"/>
      <c r="E1" s="91"/>
      <c r="F1" s="91"/>
      <c r="G1" s="91"/>
      <c r="H1" s="91"/>
      <c r="I1" s="91"/>
      <c r="J1" s="91"/>
      <c r="K1" s="91"/>
      <c r="L1" s="91"/>
      <c r="M1" s="91"/>
      <c r="N1" s="91"/>
      <c r="O1" s="91"/>
      <c r="P1" s="91"/>
    </row>
    <row r="2" spans="2:16" ht="14.4" customHeight="1" x14ac:dyDescent="0.3">
      <c r="B2" s="91"/>
      <c r="C2" s="91"/>
      <c r="D2" s="91"/>
      <c r="E2" s="91"/>
      <c r="F2" s="91"/>
      <c r="G2" s="91"/>
      <c r="H2" s="91"/>
      <c r="I2" s="91"/>
      <c r="J2" s="91"/>
      <c r="K2" s="91"/>
      <c r="L2" s="91"/>
      <c r="M2" s="91"/>
      <c r="N2" s="91"/>
      <c r="O2" s="91"/>
      <c r="P2" s="91"/>
    </row>
    <row r="3" spans="2:16" ht="14.4" customHeight="1" x14ac:dyDescent="0.3">
      <c r="B3" s="91"/>
      <c r="C3" s="91"/>
      <c r="D3" s="91"/>
      <c r="E3" s="91"/>
      <c r="F3" s="91"/>
      <c r="G3" s="91"/>
      <c r="H3" s="91"/>
      <c r="I3" s="91"/>
      <c r="J3" s="91"/>
      <c r="K3" s="91"/>
      <c r="L3" s="91"/>
      <c r="M3" s="91"/>
      <c r="N3" s="91"/>
      <c r="O3" s="91"/>
      <c r="P3" s="91"/>
    </row>
    <row r="4" spans="2:16" ht="14.4" customHeight="1" x14ac:dyDescent="0.3">
      <c r="B4" s="91"/>
      <c r="C4" s="91"/>
      <c r="D4" s="91"/>
      <c r="E4" s="91"/>
      <c r="F4" s="91"/>
      <c r="G4" s="91"/>
      <c r="H4" s="91"/>
      <c r="I4" s="91"/>
      <c r="J4" s="91"/>
      <c r="K4" s="91"/>
      <c r="L4" s="91"/>
      <c r="M4" s="91"/>
      <c r="N4" s="91"/>
      <c r="O4" s="91"/>
      <c r="P4" s="91"/>
    </row>
    <row r="5" spans="2:16" ht="14.4" customHeight="1" x14ac:dyDescent="0.3">
      <c r="B5" s="91"/>
      <c r="C5" s="91"/>
      <c r="D5" s="91"/>
      <c r="E5" s="91"/>
      <c r="F5" s="91"/>
      <c r="G5" s="91"/>
      <c r="H5" s="91"/>
      <c r="I5" s="91"/>
      <c r="J5" s="91"/>
      <c r="K5" s="91"/>
      <c r="L5" s="91"/>
      <c r="M5" s="91"/>
      <c r="N5" s="91"/>
      <c r="O5" s="91"/>
      <c r="P5" s="91"/>
    </row>
    <row r="6" spans="2:16" ht="14.4" customHeight="1" x14ac:dyDescent="0.3">
      <c r="B6" s="91"/>
      <c r="C6" s="91"/>
      <c r="D6" s="91"/>
      <c r="E6" s="91"/>
      <c r="F6" s="91"/>
      <c r="G6" s="91"/>
      <c r="H6" s="91"/>
      <c r="I6" s="91"/>
      <c r="J6" s="91"/>
      <c r="K6" s="91"/>
      <c r="L6" s="91"/>
      <c r="M6" s="91"/>
      <c r="N6" s="91"/>
      <c r="O6" s="91"/>
      <c r="P6" s="91"/>
    </row>
    <row r="7" spans="2:16" ht="14.4" customHeight="1" x14ac:dyDescent="0.3">
      <c r="B7" s="91"/>
      <c r="C7" s="91"/>
      <c r="D7" s="91"/>
      <c r="E7" s="91"/>
      <c r="F7" s="91"/>
      <c r="G7" s="91"/>
      <c r="H7" s="91"/>
      <c r="I7" s="91"/>
      <c r="J7" s="91"/>
      <c r="K7" s="91"/>
      <c r="L7" s="91"/>
      <c r="M7" s="91"/>
      <c r="N7" s="91"/>
      <c r="O7" s="91"/>
      <c r="P7" s="91"/>
    </row>
    <row r="8" spans="2:16" ht="14.4" customHeight="1" x14ac:dyDescent="0.3">
      <c r="B8" s="91"/>
      <c r="C8" s="91"/>
      <c r="D8" s="91"/>
      <c r="E8" s="91"/>
      <c r="F8" s="91"/>
      <c r="G8" s="91"/>
      <c r="H8" s="91"/>
      <c r="I8" s="91"/>
      <c r="J8" s="91"/>
      <c r="K8" s="91"/>
      <c r="L8" s="91"/>
      <c r="M8" s="91"/>
      <c r="N8" s="91"/>
      <c r="O8" s="91"/>
      <c r="P8" s="91"/>
    </row>
    <row r="9" spans="2:16" ht="14.4" customHeight="1" x14ac:dyDescent="0.3">
      <c r="B9" s="91"/>
      <c r="C9" s="91"/>
      <c r="D9" s="91"/>
      <c r="E9" s="91"/>
      <c r="F9" s="91"/>
      <c r="G9" s="91"/>
      <c r="H9" s="91"/>
      <c r="I9" s="91"/>
      <c r="J9" s="91"/>
      <c r="K9" s="91"/>
      <c r="L9" s="91"/>
      <c r="M9" s="91"/>
      <c r="N9" s="91"/>
      <c r="O9" s="91"/>
      <c r="P9" s="91"/>
    </row>
    <row r="10" spans="2:16" ht="14.4" customHeight="1" x14ac:dyDescent="0.3">
      <c r="B10" s="91"/>
      <c r="C10" s="91"/>
      <c r="D10" s="91"/>
      <c r="E10" s="91"/>
      <c r="F10" s="91"/>
      <c r="G10" s="91"/>
      <c r="H10" s="91"/>
      <c r="I10" s="91"/>
      <c r="J10" s="91"/>
      <c r="K10" s="91"/>
      <c r="L10" s="91"/>
      <c r="M10" s="91"/>
      <c r="N10" s="91"/>
      <c r="O10" s="91"/>
      <c r="P10" s="91"/>
    </row>
    <row r="11" spans="2:16" ht="14.4" customHeight="1" x14ac:dyDescent="0.3">
      <c r="B11" s="91"/>
      <c r="C11" s="91"/>
      <c r="D11" s="91"/>
      <c r="E11" s="91"/>
      <c r="F11" s="91"/>
      <c r="G11" s="91"/>
      <c r="H11" s="91"/>
      <c r="I11" s="91"/>
      <c r="J11" s="91"/>
      <c r="K11" s="91"/>
      <c r="L11" s="91"/>
      <c r="M11" s="91"/>
      <c r="N11" s="91"/>
      <c r="O11" s="91"/>
      <c r="P11" s="91"/>
    </row>
    <row r="12" spans="2:16" ht="14.4" customHeight="1" x14ac:dyDescent="0.3">
      <c r="B12" s="91"/>
      <c r="C12" s="91"/>
      <c r="D12" s="91"/>
      <c r="E12" s="91"/>
      <c r="F12" s="91"/>
      <c r="G12" s="91"/>
      <c r="H12" s="91"/>
      <c r="I12" s="91"/>
      <c r="J12" s="91"/>
      <c r="K12" s="91"/>
      <c r="L12" s="91"/>
      <c r="M12" s="91"/>
      <c r="N12" s="91"/>
      <c r="O12" s="91"/>
      <c r="P12" s="91"/>
    </row>
    <row r="13" spans="2:16" ht="14.4" customHeight="1" x14ac:dyDescent="0.3">
      <c r="B13" s="91"/>
      <c r="C13" s="91"/>
      <c r="D13" s="91"/>
      <c r="E13" s="91"/>
      <c r="F13" s="91"/>
      <c r="G13" s="91"/>
      <c r="H13" s="91"/>
      <c r="I13" s="91"/>
      <c r="J13" s="91"/>
      <c r="K13" s="91"/>
      <c r="L13" s="91"/>
      <c r="M13" s="91"/>
      <c r="N13" s="91"/>
      <c r="O13" s="91"/>
      <c r="P13" s="91"/>
    </row>
    <row r="14" spans="2:16" ht="14.4" customHeight="1" x14ac:dyDescent="0.3">
      <c r="B14" s="91"/>
      <c r="C14" s="91"/>
      <c r="D14" s="91"/>
      <c r="E14" s="91"/>
      <c r="F14" s="91"/>
      <c r="G14" s="91"/>
      <c r="H14" s="91"/>
      <c r="I14" s="91"/>
      <c r="J14" s="91"/>
      <c r="K14" s="91"/>
      <c r="L14" s="91"/>
      <c r="M14" s="91"/>
      <c r="N14" s="91"/>
      <c r="O14" s="91"/>
      <c r="P14" s="91"/>
    </row>
    <row r="15" spans="2:16" ht="14.4" customHeight="1" x14ac:dyDescent="0.3">
      <c r="B15" s="91"/>
      <c r="C15" s="91"/>
      <c r="D15" s="91"/>
      <c r="E15" s="91"/>
      <c r="F15" s="91"/>
      <c r="G15" s="91"/>
      <c r="H15" s="91"/>
      <c r="I15" s="91"/>
      <c r="J15" s="91"/>
      <c r="K15" s="91"/>
      <c r="L15" s="91"/>
      <c r="M15" s="91"/>
      <c r="N15" s="91"/>
      <c r="O15" s="91"/>
      <c r="P15" s="91"/>
    </row>
    <row r="16" spans="2:16" ht="14.4" customHeight="1" x14ac:dyDescent="0.3">
      <c r="B16" s="91"/>
      <c r="C16" s="91"/>
      <c r="D16" s="91"/>
      <c r="E16" s="91"/>
      <c r="F16" s="91"/>
      <c r="G16" s="91"/>
      <c r="H16" s="91"/>
      <c r="I16" s="91"/>
      <c r="J16" s="91"/>
      <c r="K16" s="91"/>
      <c r="L16" s="91"/>
      <c r="M16" s="91"/>
      <c r="N16" s="91"/>
      <c r="O16" s="91"/>
      <c r="P16" s="91"/>
    </row>
    <row r="17" spans="1:15" ht="14.4" customHeight="1" x14ac:dyDescent="0.5">
      <c r="A17" s="87"/>
      <c r="B17" s="87"/>
      <c r="C17" s="87"/>
      <c r="D17" s="87"/>
      <c r="E17" s="87"/>
      <c r="F17" s="87"/>
      <c r="G17" s="87"/>
      <c r="H17" s="87"/>
      <c r="I17" s="87"/>
      <c r="J17" s="87"/>
      <c r="K17" s="87"/>
      <c r="L17" s="87"/>
      <c r="M17" s="87"/>
      <c r="N17" s="87"/>
      <c r="O17" s="87"/>
    </row>
    <row r="18" spans="1:15" ht="14.4" customHeight="1" x14ac:dyDescent="0.5">
      <c r="A18" s="87"/>
      <c r="B18" s="87"/>
      <c r="C18" s="87"/>
      <c r="D18" s="87"/>
      <c r="E18" s="87"/>
      <c r="F18" s="87"/>
      <c r="G18" s="87"/>
      <c r="H18" s="87"/>
      <c r="I18" s="87"/>
      <c r="J18" s="87"/>
      <c r="K18" s="87"/>
      <c r="L18" s="87"/>
      <c r="M18" s="87"/>
      <c r="N18" s="87"/>
      <c r="O18" s="87"/>
    </row>
    <row r="19" spans="1:15" ht="14.4" customHeight="1" x14ac:dyDescent="0.5">
      <c r="A19" s="87"/>
      <c r="B19" s="87"/>
      <c r="C19" s="87"/>
      <c r="D19" s="87"/>
      <c r="E19" s="87"/>
      <c r="F19" s="87"/>
      <c r="G19" s="87"/>
      <c r="H19" s="87"/>
      <c r="I19" s="87"/>
      <c r="J19" s="87"/>
      <c r="K19" s="87"/>
      <c r="L19" s="87"/>
      <c r="M19" s="87"/>
      <c r="N19" s="87"/>
      <c r="O19" s="87"/>
    </row>
    <row r="20" spans="1:15" ht="14.4" customHeight="1" x14ac:dyDescent="0.5">
      <c r="A20" s="87"/>
      <c r="B20" s="87"/>
      <c r="C20" s="87"/>
      <c r="D20" s="87"/>
      <c r="E20" s="87"/>
      <c r="F20" s="87"/>
      <c r="G20" s="87"/>
      <c r="H20" s="87"/>
      <c r="I20" s="87"/>
      <c r="J20" s="87"/>
      <c r="K20" s="87"/>
      <c r="L20" s="87"/>
      <c r="M20" s="87"/>
      <c r="N20" s="87"/>
      <c r="O20" s="87"/>
    </row>
    <row r="21" spans="1:15" ht="14.4" customHeight="1" x14ac:dyDescent="0.5">
      <c r="A21" s="87"/>
      <c r="B21" s="87"/>
      <c r="C21" s="87"/>
      <c r="D21" s="87"/>
      <c r="E21" s="87"/>
      <c r="F21" s="87"/>
      <c r="G21" s="87"/>
      <c r="H21" s="87"/>
      <c r="I21" s="87"/>
      <c r="J21" s="87"/>
      <c r="K21" s="87"/>
      <c r="L21" s="87"/>
      <c r="M21" s="87"/>
      <c r="N21" s="87"/>
      <c r="O21" s="87"/>
    </row>
    <row r="22" spans="1:15" ht="14.4" customHeight="1" x14ac:dyDescent="0.5">
      <c r="A22" s="87"/>
      <c r="B22" s="87"/>
      <c r="C22" s="87"/>
      <c r="D22" s="87"/>
      <c r="E22" s="87"/>
      <c r="F22" s="87"/>
      <c r="G22" s="87"/>
      <c r="H22" s="87"/>
      <c r="I22" s="87"/>
      <c r="J22" s="87"/>
      <c r="K22" s="87"/>
      <c r="L22" s="87"/>
      <c r="M22" s="87"/>
      <c r="N22" s="87"/>
      <c r="O22" s="87"/>
    </row>
  </sheetData>
  <mergeCells count="1">
    <mergeCell ref="B1:P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B504-EEFB-475F-8965-017E34A2C2B3}">
  <sheetPr>
    <tabColor rgb="FF00B050"/>
    <pageSetUpPr fitToPage="1"/>
  </sheetPr>
  <dimension ref="B1:AA135"/>
  <sheetViews>
    <sheetView zoomScale="90" zoomScaleNormal="90" workbookViewId="0"/>
  </sheetViews>
  <sheetFormatPr defaultRowHeight="13.8" outlineLevelRow="1" x14ac:dyDescent="0.25"/>
  <cols>
    <col min="1" max="1" width="2" style="44" customWidth="1"/>
    <col min="2" max="23" width="8.88671875" style="44"/>
    <col min="24" max="24" width="8.88671875" style="44" customWidth="1"/>
    <col min="25" max="16384" width="8.88671875" style="44"/>
  </cols>
  <sheetData>
    <row r="1" spans="2:27" x14ac:dyDescent="0.25">
      <c r="B1" s="96" t="s">
        <v>2</v>
      </c>
      <c r="C1" s="96"/>
      <c r="D1" s="4"/>
      <c r="E1" s="4"/>
      <c r="F1" s="4"/>
      <c r="G1" s="4"/>
      <c r="H1" s="4"/>
      <c r="I1" s="4"/>
      <c r="J1" s="5"/>
      <c r="K1" s="5"/>
      <c r="L1" s="5"/>
      <c r="M1" s="5"/>
      <c r="N1" s="5"/>
      <c r="O1" s="5"/>
      <c r="P1" s="5"/>
      <c r="Q1" s="5"/>
      <c r="R1" s="5"/>
      <c r="S1" s="5"/>
      <c r="T1" s="5"/>
      <c r="U1" s="5"/>
      <c r="V1" s="5"/>
      <c r="W1" s="5"/>
      <c r="X1" s="5"/>
      <c r="Y1" s="3"/>
      <c r="Z1" s="3"/>
      <c r="AA1" s="3"/>
    </row>
    <row r="2" spans="2:27" ht="7.05" customHeight="1" outlineLevel="1" x14ac:dyDescent="0.25"/>
    <row r="3" spans="2:27" outlineLevel="1" x14ac:dyDescent="0.25">
      <c r="B3" s="99" t="s">
        <v>9</v>
      </c>
      <c r="C3" s="99"/>
      <c r="D3" s="99"/>
      <c r="E3" s="45"/>
      <c r="F3" s="45"/>
      <c r="G3" s="45"/>
      <c r="J3" s="47" t="s">
        <v>74</v>
      </c>
      <c r="K3" s="45"/>
      <c r="L3" s="45"/>
      <c r="M3" s="45"/>
      <c r="N3" s="45"/>
      <c r="Q3" s="103" t="s">
        <v>16</v>
      </c>
      <c r="R3" s="103"/>
      <c r="S3" s="49"/>
      <c r="T3" s="49"/>
      <c r="U3" s="47"/>
      <c r="V3" s="47"/>
      <c r="W3" s="48" t="s">
        <v>17</v>
      </c>
      <c r="X3" s="48" t="s">
        <v>52</v>
      </c>
    </row>
    <row r="4" spans="2:27" ht="7.05" customHeight="1" outlineLevel="1" x14ac:dyDescent="0.25">
      <c r="B4" s="3"/>
      <c r="C4" s="3"/>
      <c r="D4" s="3"/>
    </row>
    <row r="5" spans="2:27" ht="14.4" outlineLevel="1" x14ac:dyDescent="0.3">
      <c r="B5" s="92" t="s">
        <v>10</v>
      </c>
      <c r="C5" s="92"/>
      <c r="D5" s="92"/>
      <c r="J5" s="89" t="s">
        <v>4</v>
      </c>
      <c r="K5" s="89"/>
      <c r="L5" s="3"/>
      <c r="N5" s="3">
        <f>$S$48</f>
        <v>600</v>
      </c>
      <c r="O5" s="3"/>
      <c r="P5" s="3"/>
      <c r="Q5" s="44" t="s">
        <v>75</v>
      </c>
      <c r="W5" s="46">
        <v>200</v>
      </c>
      <c r="X5" s="52">
        <v>7.4999999999999997E-2</v>
      </c>
    </row>
    <row r="6" spans="2:27" ht="14.4" outlineLevel="1" x14ac:dyDescent="0.3">
      <c r="B6" s="3" t="s">
        <v>11</v>
      </c>
      <c r="C6" s="3"/>
      <c r="F6" s="82"/>
      <c r="G6" s="46">
        <v>2000</v>
      </c>
      <c r="H6" s="82"/>
      <c r="J6" s="104" t="s">
        <v>5</v>
      </c>
      <c r="K6" s="104"/>
      <c r="L6" s="10"/>
      <c r="M6" s="84"/>
      <c r="N6" s="51">
        <v>10</v>
      </c>
      <c r="O6" s="85"/>
      <c r="P6" s="3"/>
      <c r="Q6" s="97" t="s">
        <v>76</v>
      </c>
      <c r="R6" s="97"/>
      <c r="S6" s="50"/>
      <c r="T6" s="50"/>
      <c r="W6" s="46">
        <v>2500</v>
      </c>
      <c r="X6" s="52">
        <v>9.5000000000000001E-2</v>
      </c>
    </row>
    <row r="7" spans="2:27" ht="14.4" outlineLevel="1" x14ac:dyDescent="0.3">
      <c r="B7" s="3" t="s">
        <v>72</v>
      </c>
      <c r="C7" s="3"/>
      <c r="F7" s="82"/>
      <c r="G7" s="46">
        <v>900</v>
      </c>
      <c r="H7" s="82"/>
      <c r="J7" s="102" t="s">
        <v>6</v>
      </c>
      <c r="K7" s="102"/>
      <c r="L7" s="9"/>
      <c r="N7" s="9">
        <f>$N$5*$N$6</f>
        <v>6000</v>
      </c>
      <c r="O7" s="9"/>
      <c r="P7" s="3"/>
      <c r="Q7" s="97" t="s">
        <v>20</v>
      </c>
      <c r="R7" s="97"/>
      <c r="S7" s="50"/>
      <c r="T7" s="50"/>
      <c r="W7" s="46">
        <v>1500</v>
      </c>
      <c r="X7" s="52">
        <v>0.125</v>
      </c>
    </row>
    <row r="8" spans="2:27" ht="14.4" outlineLevel="1" x14ac:dyDescent="0.3">
      <c r="B8" s="3" t="s">
        <v>73</v>
      </c>
      <c r="C8" s="3"/>
      <c r="F8" s="82"/>
      <c r="G8" s="46">
        <v>500</v>
      </c>
      <c r="H8" s="82"/>
      <c r="J8" s="104" t="s">
        <v>7</v>
      </c>
      <c r="K8" s="104"/>
      <c r="L8" s="10"/>
      <c r="M8" s="84"/>
      <c r="N8" s="46">
        <v>1000</v>
      </c>
      <c r="O8" s="82"/>
      <c r="P8" s="13"/>
    </row>
    <row r="9" spans="2:27" ht="14.4" outlineLevel="1" x14ac:dyDescent="0.3">
      <c r="B9" s="3" t="s">
        <v>13</v>
      </c>
      <c r="C9" s="3"/>
      <c r="F9" s="82"/>
      <c r="G9" s="46">
        <v>100</v>
      </c>
      <c r="H9" s="82"/>
      <c r="J9" s="102" t="s">
        <v>8</v>
      </c>
      <c r="K9" s="102"/>
      <c r="L9" s="9"/>
      <c r="N9" s="9">
        <f>$N$7-$N$8</f>
        <v>5000</v>
      </c>
      <c r="O9" s="9"/>
      <c r="P9" s="3"/>
    </row>
    <row r="10" spans="2:27" ht="14.4" outlineLevel="1" x14ac:dyDescent="0.3">
      <c r="B10" s="3" t="s">
        <v>15</v>
      </c>
      <c r="C10" s="3"/>
      <c r="F10" s="82"/>
      <c r="G10" s="46">
        <v>200</v>
      </c>
      <c r="H10" s="82"/>
    </row>
    <row r="11" spans="2:27" ht="14.4" outlineLevel="1" x14ac:dyDescent="0.3">
      <c r="B11" s="44" t="s">
        <v>57</v>
      </c>
      <c r="F11" s="82"/>
      <c r="G11" s="46">
        <v>140</v>
      </c>
      <c r="H11" s="82"/>
      <c r="J11" s="97" t="s">
        <v>23</v>
      </c>
      <c r="K11" s="97"/>
      <c r="N11" s="46">
        <v>100</v>
      </c>
      <c r="O11" s="82"/>
    </row>
    <row r="12" spans="2:27" outlineLevel="1" x14ac:dyDescent="0.25"/>
    <row r="13" spans="2:27" outlineLevel="1" x14ac:dyDescent="0.25">
      <c r="B13" s="103" t="s">
        <v>25</v>
      </c>
      <c r="C13" s="103"/>
      <c r="D13" s="103"/>
      <c r="E13" s="45"/>
      <c r="F13" s="45"/>
      <c r="G13" s="45"/>
      <c r="J13" s="47" t="s">
        <v>77</v>
      </c>
      <c r="K13" s="45"/>
      <c r="L13" s="45"/>
      <c r="M13" s="45"/>
      <c r="N13" s="45"/>
      <c r="Q13" s="103" t="s">
        <v>21</v>
      </c>
      <c r="R13" s="103"/>
      <c r="S13" s="49"/>
      <c r="T13" s="49"/>
      <c r="U13" s="47"/>
      <c r="V13" s="47"/>
      <c r="W13" s="48"/>
      <c r="X13" s="48"/>
    </row>
    <row r="14" spans="2:27" ht="7.05" customHeight="1" outlineLevel="1" x14ac:dyDescent="0.25"/>
    <row r="15" spans="2:27" ht="14.4" outlineLevel="1" x14ac:dyDescent="0.3">
      <c r="B15" s="97" t="s">
        <v>26</v>
      </c>
      <c r="C15" s="97"/>
      <c r="E15" s="52">
        <v>0.1</v>
      </c>
      <c r="F15" s="83"/>
      <c r="G15" s="83"/>
      <c r="H15" s="83"/>
      <c r="J15" s="97" t="s">
        <v>67</v>
      </c>
      <c r="K15" s="97"/>
      <c r="N15" s="51">
        <v>10</v>
      </c>
      <c r="O15" s="85"/>
      <c r="Q15" s="78" t="s">
        <v>22</v>
      </c>
      <c r="R15" s="78"/>
      <c r="S15" s="78"/>
      <c r="T15" s="78"/>
      <c r="U15" s="78"/>
      <c r="V15" s="78"/>
      <c r="W15" s="78"/>
      <c r="X15" s="79">
        <f>$X$134</f>
        <v>0.21829299963464921</v>
      </c>
    </row>
    <row r="16" spans="2:27" ht="14.4" outlineLevel="1" x14ac:dyDescent="0.3">
      <c r="B16" s="44" t="s">
        <v>28</v>
      </c>
      <c r="E16" s="52">
        <v>0.21</v>
      </c>
      <c r="F16" s="83"/>
      <c r="G16" s="83"/>
      <c r="H16" s="83"/>
      <c r="Q16" s="80" t="s">
        <v>71</v>
      </c>
      <c r="R16" s="80"/>
      <c r="S16" s="80"/>
      <c r="T16" s="80"/>
      <c r="U16" s="80"/>
      <c r="V16" s="80"/>
      <c r="W16" s="80"/>
      <c r="X16" s="81">
        <f>$X$133</f>
        <v>2.6838531157945718</v>
      </c>
    </row>
    <row r="17" spans="2:24" ht="13.8" customHeight="1" x14ac:dyDescent="0.25"/>
    <row r="18" spans="2:24" x14ac:dyDescent="0.25">
      <c r="B18" s="96" t="s">
        <v>29</v>
      </c>
      <c r="C18" s="96"/>
      <c r="D18" s="4"/>
      <c r="E18" s="4"/>
      <c r="F18" s="4"/>
      <c r="G18" s="4"/>
      <c r="H18" s="4"/>
      <c r="I18" s="4"/>
      <c r="J18" s="5"/>
      <c r="K18" s="5"/>
      <c r="L18" s="5"/>
      <c r="M18" s="5"/>
      <c r="N18" s="5"/>
      <c r="O18" s="5"/>
      <c r="P18" s="5"/>
      <c r="Q18" s="5"/>
      <c r="R18" s="5"/>
      <c r="S18" s="5"/>
      <c r="T18" s="5"/>
      <c r="U18" s="5"/>
      <c r="V18" s="5"/>
      <c r="W18" s="5"/>
      <c r="X18" s="5"/>
    </row>
    <row r="19" spans="2:24" ht="7.05" customHeight="1" outlineLevel="1" x14ac:dyDescent="0.25"/>
    <row r="20" spans="2:24" ht="13.8" customHeight="1" outlineLevel="1" x14ac:dyDescent="0.25">
      <c r="B20" s="6" t="s">
        <v>30</v>
      </c>
      <c r="C20" s="6"/>
      <c r="D20" s="6"/>
      <c r="E20" s="6"/>
      <c r="F20" s="6"/>
      <c r="G20" s="6"/>
      <c r="H20" s="6"/>
      <c r="I20" s="6"/>
      <c r="J20" s="6"/>
      <c r="P20" s="6" t="s">
        <v>31</v>
      </c>
      <c r="Q20" s="6"/>
      <c r="R20" s="6"/>
      <c r="S20" s="6"/>
      <c r="T20" s="6"/>
      <c r="U20" s="6"/>
      <c r="V20" s="6"/>
      <c r="W20" s="6"/>
      <c r="X20" s="6"/>
    </row>
    <row r="21" spans="2:24" ht="7.05" customHeight="1" outlineLevel="1" x14ac:dyDescent="0.25"/>
    <row r="22" spans="2:24" outlineLevel="1" x14ac:dyDescent="0.25">
      <c r="F22" s="3"/>
      <c r="H22" s="10" t="s">
        <v>17</v>
      </c>
      <c r="I22" s="10" t="s">
        <v>32</v>
      </c>
      <c r="J22" s="10" t="s">
        <v>33</v>
      </c>
      <c r="V22" s="10" t="s">
        <v>17</v>
      </c>
      <c r="W22" s="10" t="s">
        <v>32</v>
      </c>
      <c r="X22" s="10" t="s">
        <v>33</v>
      </c>
    </row>
    <row r="23" spans="2:24" outlineLevel="1" x14ac:dyDescent="0.25">
      <c r="B23" s="44" t="s">
        <v>75</v>
      </c>
      <c r="F23" s="3"/>
      <c r="H23" s="3">
        <f>$W$5</f>
        <v>200</v>
      </c>
      <c r="I23" s="57">
        <f>H23/$N$5</f>
        <v>0.33333333333333331</v>
      </c>
      <c r="J23" s="33">
        <f>H23/$H$30</f>
        <v>3.2786885245901641E-2</v>
      </c>
      <c r="P23" s="97" t="s">
        <v>81</v>
      </c>
      <c r="Q23" s="97"/>
      <c r="V23" s="3">
        <f>$N$8</f>
        <v>1000</v>
      </c>
      <c r="W23" s="57">
        <f>V23/$N$5</f>
        <v>1.6666666666666667</v>
      </c>
      <c r="X23" s="33">
        <f>V23/$V$30</f>
        <v>0.16393442622950818</v>
      </c>
    </row>
    <row r="24" spans="2:24" outlineLevel="1" x14ac:dyDescent="0.25">
      <c r="B24" s="97" t="s">
        <v>76</v>
      </c>
      <c r="C24" s="97"/>
      <c r="F24" s="3"/>
      <c r="H24" s="3">
        <f>$W$6</f>
        <v>2500</v>
      </c>
      <c r="I24" s="57">
        <f>H24/$N$5</f>
        <v>4.166666666666667</v>
      </c>
      <c r="J24" s="33">
        <f>H24/$H$30</f>
        <v>0.4098360655737705</v>
      </c>
      <c r="P24" s="97" t="s">
        <v>35</v>
      </c>
      <c r="Q24" s="97"/>
      <c r="V24" s="3">
        <f>$N$9</f>
        <v>5000</v>
      </c>
      <c r="W24" s="57">
        <f>V24/$N$5</f>
        <v>8.3333333333333339</v>
      </c>
      <c r="X24" s="33">
        <f>V24/$V$30</f>
        <v>0.81967213114754101</v>
      </c>
    </row>
    <row r="25" spans="2:24" outlineLevel="1" x14ac:dyDescent="0.25">
      <c r="B25" s="101" t="s">
        <v>20</v>
      </c>
      <c r="C25" s="101"/>
      <c r="D25" s="55"/>
      <c r="E25" s="55"/>
      <c r="F25" s="56"/>
      <c r="G25" s="55"/>
      <c r="H25" s="56">
        <f>$W$7</f>
        <v>1500</v>
      </c>
      <c r="I25" s="58">
        <f>H25/$N$5</f>
        <v>2.5</v>
      </c>
      <c r="J25" s="62">
        <f>H25/$H$30</f>
        <v>0.24590163934426229</v>
      </c>
      <c r="W25" s="57"/>
    </row>
    <row r="26" spans="2:24" outlineLevel="1" x14ac:dyDescent="0.25">
      <c r="B26" s="59" t="s">
        <v>80</v>
      </c>
      <c r="F26" s="3"/>
      <c r="H26" s="3">
        <f>SUM(H23:H25)</f>
        <v>4200</v>
      </c>
      <c r="I26" s="57">
        <f>SUM(I23:I25)</f>
        <v>7</v>
      </c>
      <c r="J26" s="33">
        <f>H26/$H$30</f>
        <v>0.68852459016393441</v>
      </c>
      <c r="P26" s="97" t="s">
        <v>23</v>
      </c>
      <c r="Q26" s="97"/>
      <c r="V26" s="3">
        <f>$N$11</f>
        <v>100</v>
      </c>
      <c r="W26" s="57">
        <f>V26/$N$5</f>
        <v>0.16666666666666666</v>
      </c>
      <c r="X26" s="33">
        <f>V26/$V$30</f>
        <v>1.6393442622950821E-2</v>
      </c>
    </row>
    <row r="27" spans="2:24" outlineLevel="1" x14ac:dyDescent="0.25">
      <c r="J27" s="33"/>
    </row>
    <row r="28" spans="2:24" outlineLevel="1" x14ac:dyDescent="0.25">
      <c r="B28" s="97" t="s">
        <v>37</v>
      </c>
      <c r="C28" s="97"/>
      <c r="F28" s="3"/>
      <c r="H28" s="3">
        <f>H30-H26</f>
        <v>1900</v>
      </c>
      <c r="I28" s="57">
        <f>H28/$N$5</f>
        <v>3.1666666666666665</v>
      </c>
      <c r="J28" s="33">
        <f>H28/$H$30</f>
        <v>0.31147540983606559</v>
      </c>
    </row>
    <row r="29" spans="2:24" outlineLevel="1" x14ac:dyDescent="0.25"/>
    <row r="30" spans="2:24" outlineLevel="1" x14ac:dyDescent="0.25">
      <c r="B30" s="98" t="s">
        <v>38</v>
      </c>
      <c r="C30" s="98"/>
      <c r="D30" s="63"/>
      <c r="E30" s="60"/>
      <c r="F30" s="64"/>
      <c r="G30" s="60"/>
      <c r="H30" s="64">
        <f>$V$30</f>
        <v>6100</v>
      </c>
      <c r="I30" s="65">
        <f>H30/$N$5</f>
        <v>10.166666666666666</v>
      </c>
      <c r="J30" s="86">
        <f>J26+J28</f>
        <v>1</v>
      </c>
      <c r="P30" s="98" t="s">
        <v>39</v>
      </c>
      <c r="Q30" s="98"/>
      <c r="R30" s="63"/>
      <c r="S30" s="63"/>
      <c r="T30" s="63"/>
      <c r="U30" s="63"/>
      <c r="V30" s="64">
        <f>V23+V24+V26</f>
        <v>6100</v>
      </c>
      <c r="W30" s="65">
        <f>W23+W24+W26</f>
        <v>10.166666666666666</v>
      </c>
      <c r="X30" s="86">
        <f>X23+X24+X26</f>
        <v>1</v>
      </c>
    </row>
    <row r="32" spans="2:24" x14ac:dyDescent="0.25">
      <c r="B32" s="96" t="s">
        <v>9</v>
      </c>
      <c r="C32" s="96"/>
      <c r="D32" s="4"/>
      <c r="E32" s="4"/>
      <c r="F32" s="4"/>
      <c r="G32" s="4"/>
      <c r="H32" s="4"/>
      <c r="I32" s="4"/>
      <c r="J32" s="5"/>
      <c r="K32" s="5"/>
      <c r="L32" s="5"/>
      <c r="M32" s="5"/>
      <c r="N32" s="5"/>
      <c r="O32" s="5"/>
      <c r="P32" s="5"/>
      <c r="Q32" s="5"/>
      <c r="R32" s="5"/>
      <c r="S32" s="5"/>
      <c r="T32" s="5"/>
      <c r="U32" s="5"/>
      <c r="V32" s="5"/>
      <c r="W32" s="5"/>
      <c r="X32" s="5"/>
    </row>
    <row r="33" spans="2:24" ht="7.05" customHeight="1" outlineLevel="1" x14ac:dyDescent="0.25"/>
    <row r="34" spans="2:24" outlineLevel="1" x14ac:dyDescent="0.25">
      <c r="B34" s="6" t="s">
        <v>40</v>
      </c>
      <c r="C34" s="6"/>
      <c r="D34" s="7"/>
      <c r="E34" s="7"/>
      <c r="F34" s="7"/>
      <c r="G34" s="7"/>
      <c r="H34" s="7"/>
      <c r="I34" s="7"/>
      <c r="J34" s="7"/>
      <c r="K34" s="7"/>
      <c r="L34" s="7"/>
      <c r="M34" s="7"/>
      <c r="N34" s="7"/>
      <c r="O34" s="7"/>
      <c r="P34" s="7"/>
      <c r="Q34" s="7"/>
      <c r="R34" s="7"/>
      <c r="S34" s="8" t="s">
        <v>41</v>
      </c>
      <c r="T34" s="8" t="s">
        <v>42</v>
      </c>
      <c r="U34" s="8" t="s">
        <v>43</v>
      </c>
      <c r="V34" s="8" t="s">
        <v>44</v>
      </c>
      <c r="W34" s="8" t="s">
        <v>45</v>
      </c>
      <c r="X34" s="8" t="s">
        <v>58</v>
      </c>
    </row>
    <row r="35" spans="2:24" ht="7.05" customHeight="1" outlineLevel="1" x14ac:dyDescent="0.25"/>
    <row r="36" spans="2:24" outlineLevel="1" x14ac:dyDescent="0.25">
      <c r="B36" s="3" t="s">
        <v>11</v>
      </c>
      <c r="C36" s="3"/>
      <c r="D36" s="3"/>
      <c r="E36" s="3"/>
      <c r="F36" s="3"/>
      <c r="G36" s="3"/>
      <c r="H36" s="3"/>
      <c r="I36" s="3"/>
      <c r="J36" s="3"/>
      <c r="K36" s="3"/>
      <c r="L36" s="3"/>
      <c r="M36" s="3"/>
      <c r="N36" s="3"/>
      <c r="O36" s="3"/>
      <c r="S36" s="54">
        <f>$G$6</f>
        <v>2000</v>
      </c>
      <c r="T36" s="19">
        <f>S$36*(1+T$37)</f>
        <v>2200</v>
      </c>
      <c r="U36" s="19">
        <f>T$36*(1+U$37)</f>
        <v>2420</v>
      </c>
      <c r="V36" s="19">
        <f>U$36*(1+V$37)</f>
        <v>2662</v>
      </c>
      <c r="W36" s="19">
        <f>V$36*(1+W$37)</f>
        <v>2928.2000000000003</v>
      </c>
      <c r="X36" s="19">
        <f t="shared" ref="X36" si="0">W$36*(1+X$37)</f>
        <v>3221.0200000000004</v>
      </c>
    </row>
    <row r="37" spans="2:24" ht="14.4" outlineLevel="1" x14ac:dyDescent="0.3">
      <c r="B37" s="100" t="s">
        <v>46</v>
      </c>
      <c r="C37" s="100"/>
      <c r="D37" s="3"/>
      <c r="E37" s="3"/>
      <c r="F37" s="3"/>
      <c r="G37" s="3"/>
      <c r="H37" s="3"/>
      <c r="I37" s="3"/>
      <c r="J37" s="3"/>
      <c r="K37" s="3"/>
      <c r="L37" s="3"/>
      <c r="M37" s="3"/>
      <c r="N37" s="3"/>
      <c r="O37" s="3"/>
      <c r="S37" s="29"/>
      <c r="T37" s="33">
        <f>$E$15</f>
        <v>0.1</v>
      </c>
      <c r="U37" s="33">
        <f>$T$37</f>
        <v>0.1</v>
      </c>
      <c r="V37" s="33">
        <f>$T$37</f>
        <v>0.1</v>
      </c>
      <c r="W37" s="33">
        <f>$T$37</f>
        <v>0.1</v>
      </c>
      <c r="X37" s="33">
        <f>$T$37</f>
        <v>0.1</v>
      </c>
    </row>
    <row r="38" spans="2:24" outlineLevel="1" x14ac:dyDescent="0.25">
      <c r="B38" s="3"/>
      <c r="C38" s="3"/>
      <c r="D38" s="3"/>
      <c r="E38" s="3"/>
      <c r="F38" s="3"/>
      <c r="G38" s="3"/>
      <c r="H38" s="3"/>
      <c r="I38" s="3"/>
      <c r="J38" s="3"/>
      <c r="K38" s="3"/>
      <c r="L38" s="3"/>
      <c r="M38" s="3"/>
      <c r="N38" s="3"/>
      <c r="O38" s="3"/>
      <c r="S38" s="29"/>
      <c r="T38" s="3"/>
      <c r="U38" s="3"/>
      <c r="V38" s="3"/>
      <c r="W38" s="3"/>
      <c r="X38" s="3"/>
    </row>
    <row r="39" spans="2:24" outlineLevel="1" x14ac:dyDescent="0.25">
      <c r="B39" s="3" t="s">
        <v>78</v>
      </c>
      <c r="C39" s="3"/>
      <c r="D39" s="3"/>
      <c r="E39" s="3"/>
      <c r="F39" s="3"/>
      <c r="G39" s="3"/>
      <c r="H39" s="3"/>
      <c r="I39" s="3"/>
      <c r="J39" s="3"/>
      <c r="K39" s="3"/>
      <c r="L39" s="3"/>
      <c r="M39" s="3"/>
      <c r="N39" s="3"/>
      <c r="O39" s="3"/>
      <c r="S39" s="29">
        <f>$G$7</f>
        <v>900</v>
      </c>
      <c r="T39" s="3">
        <f>T$36*T$40</f>
        <v>990</v>
      </c>
      <c r="U39" s="3">
        <f>U$36*U$40</f>
        <v>1089</v>
      </c>
      <c r="V39" s="3">
        <f>V$36*V$40</f>
        <v>1197.9000000000001</v>
      </c>
      <c r="W39" s="3">
        <f t="shared" ref="W39:X39" si="1">W$36*W$40</f>
        <v>1317.69</v>
      </c>
      <c r="X39" s="3">
        <f t="shared" si="1"/>
        <v>1449.4590000000003</v>
      </c>
    </row>
    <row r="40" spans="2:24" ht="14.4" outlineLevel="1" x14ac:dyDescent="0.3">
      <c r="B40" s="53" t="s">
        <v>47</v>
      </c>
      <c r="C40" s="3"/>
      <c r="D40" s="3"/>
      <c r="E40" s="3"/>
      <c r="F40" s="3"/>
      <c r="G40" s="3"/>
      <c r="H40" s="3"/>
      <c r="I40" s="3"/>
      <c r="J40" s="3"/>
      <c r="K40" s="3"/>
      <c r="L40" s="3"/>
      <c r="M40" s="3"/>
      <c r="N40" s="3"/>
      <c r="O40" s="3"/>
      <c r="S40" s="32">
        <f>S$39/S$36</f>
        <v>0.45</v>
      </c>
      <c r="T40" s="33">
        <f>$S$40</f>
        <v>0.45</v>
      </c>
      <c r="U40" s="33">
        <f>$S$40</f>
        <v>0.45</v>
      </c>
      <c r="V40" s="33">
        <f>$S$40</f>
        <v>0.45</v>
      </c>
      <c r="W40" s="33">
        <f>$S$40</f>
        <v>0.45</v>
      </c>
      <c r="X40" s="33">
        <f>$S$40</f>
        <v>0.45</v>
      </c>
    </row>
    <row r="41" spans="2:24" outlineLevel="1" x14ac:dyDescent="0.25">
      <c r="B41" s="3"/>
      <c r="C41" s="3"/>
      <c r="D41" s="3"/>
      <c r="E41" s="3"/>
      <c r="F41" s="3"/>
      <c r="G41" s="3"/>
      <c r="H41" s="3"/>
      <c r="I41" s="3"/>
      <c r="J41" s="3"/>
      <c r="K41" s="3"/>
      <c r="L41" s="3"/>
      <c r="M41" s="3"/>
      <c r="N41" s="3"/>
      <c r="O41" s="3"/>
      <c r="S41" s="29"/>
      <c r="T41" s="3"/>
      <c r="U41" s="3"/>
      <c r="V41" s="3"/>
      <c r="W41" s="3"/>
      <c r="X41" s="3"/>
    </row>
    <row r="42" spans="2:24" outlineLevel="1" x14ac:dyDescent="0.25">
      <c r="B42" s="89" t="s">
        <v>79</v>
      </c>
      <c r="C42" s="89"/>
      <c r="D42" s="3"/>
      <c r="E42" s="3"/>
      <c r="F42" s="3"/>
      <c r="G42" s="3"/>
      <c r="H42" s="3"/>
      <c r="I42" s="3"/>
      <c r="J42" s="3"/>
      <c r="K42" s="3"/>
      <c r="L42" s="3"/>
      <c r="M42" s="3"/>
      <c r="N42" s="3"/>
      <c r="O42" s="3"/>
      <c r="S42" s="29">
        <f>S$36-S$39</f>
        <v>1100</v>
      </c>
      <c r="T42" s="3">
        <f>T$36-T$39</f>
        <v>1210</v>
      </c>
      <c r="U42" s="3">
        <f>U$36-U$39</f>
        <v>1331</v>
      </c>
      <c r="V42" s="3">
        <f>V$36-V$39</f>
        <v>1464.1</v>
      </c>
      <c r="W42" s="3">
        <f t="shared" ref="W42:X42" si="2">W$36-W$39</f>
        <v>1610.5100000000002</v>
      </c>
      <c r="X42" s="3">
        <f t="shared" si="2"/>
        <v>1771.5610000000001</v>
      </c>
    </row>
    <row r="43" spans="2:24" ht="14.4" outlineLevel="1" x14ac:dyDescent="0.3">
      <c r="B43" s="53" t="s">
        <v>47</v>
      </c>
      <c r="C43" s="3"/>
      <c r="D43" s="3"/>
      <c r="E43" s="3"/>
      <c r="F43" s="3"/>
      <c r="G43" s="3"/>
      <c r="H43" s="3"/>
      <c r="I43" s="3"/>
      <c r="J43" s="3"/>
      <c r="K43" s="3"/>
      <c r="L43" s="3"/>
      <c r="M43" s="3"/>
      <c r="N43" s="3"/>
      <c r="O43" s="3"/>
      <c r="S43" s="32">
        <f>S$42/S$36</f>
        <v>0.55000000000000004</v>
      </c>
      <c r="T43" s="33">
        <f>T$42/T$36</f>
        <v>0.55000000000000004</v>
      </c>
      <c r="U43" s="33">
        <f>U$42/U$36</f>
        <v>0.55000000000000004</v>
      </c>
      <c r="V43" s="33">
        <f>V$42/V$36</f>
        <v>0.54999999999999993</v>
      </c>
      <c r="W43" s="33">
        <f t="shared" ref="W43:X43" si="3">W$42/W$36</f>
        <v>0.55000000000000004</v>
      </c>
      <c r="X43" s="33">
        <f t="shared" si="3"/>
        <v>0.54999999999999993</v>
      </c>
    </row>
    <row r="44" spans="2:24" outlineLevel="1" x14ac:dyDescent="0.25">
      <c r="B44" s="3"/>
      <c r="C44" s="3"/>
      <c r="D44" s="3"/>
      <c r="E44" s="3"/>
      <c r="F44" s="3"/>
      <c r="G44" s="3"/>
      <c r="H44" s="3"/>
      <c r="I44" s="3"/>
      <c r="J44" s="3"/>
      <c r="K44" s="3"/>
      <c r="L44" s="3"/>
      <c r="M44" s="3"/>
      <c r="N44" s="3"/>
      <c r="O44" s="3"/>
      <c r="S44" s="29"/>
      <c r="T44" s="3"/>
      <c r="U44" s="3"/>
      <c r="V44" s="3"/>
      <c r="W44" s="3"/>
      <c r="X44" s="3"/>
    </row>
    <row r="45" spans="2:24" outlineLevel="1" x14ac:dyDescent="0.25">
      <c r="B45" s="3" t="s">
        <v>73</v>
      </c>
      <c r="C45" s="3"/>
      <c r="D45" s="3"/>
      <c r="E45" s="3"/>
      <c r="F45" s="3"/>
      <c r="G45" s="3"/>
      <c r="H45" s="3"/>
      <c r="I45" s="3"/>
      <c r="J45" s="3"/>
      <c r="K45" s="3"/>
      <c r="L45" s="3"/>
      <c r="M45" s="3"/>
      <c r="N45" s="3"/>
      <c r="O45" s="3"/>
      <c r="S45" s="29">
        <f>$G$8</f>
        <v>500</v>
      </c>
      <c r="T45" s="3">
        <f>T$36*T$46</f>
        <v>550</v>
      </c>
      <c r="U45" s="3">
        <f>U$36*U$46</f>
        <v>605</v>
      </c>
      <c r="V45" s="3">
        <f>V$36*V$46</f>
        <v>665.5</v>
      </c>
      <c r="W45" s="3">
        <f t="shared" ref="W45:X45" si="4">W$36*W$46</f>
        <v>732.05000000000007</v>
      </c>
      <c r="X45" s="3">
        <f t="shared" si="4"/>
        <v>805.25500000000011</v>
      </c>
    </row>
    <row r="46" spans="2:24" ht="14.4" outlineLevel="1" x14ac:dyDescent="0.3">
      <c r="B46" s="53" t="s">
        <v>47</v>
      </c>
      <c r="C46" s="3"/>
      <c r="D46" s="3"/>
      <c r="E46" s="3"/>
      <c r="F46" s="3"/>
      <c r="G46" s="3"/>
      <c r="H46" s="3"/>
      <c r="I46" s="3"/>
      <c r="J46" s="3"/>
      <c r="K46" s="3"/>
      <c r="L46" s="3"/>
      <c r="M46" s="3"/>
      <c r="N46" s="3"/>
      <c r="O46" s="3"/>
      <c r="S46" s="32">
        <f>S$45/S$36</f>
        <v>0.25</v>
      </c>
      <c r="T46" s="33">
        <f>$S$46</f>
        <v>0.25</v>
      </c>
      <c r="U46" s="33">
        <f>$S$46</f>
        <v>0.25</v>
      </c>
      <c r="V46" s="33">
        <f>$S$46</f>
        <v>0.25</v>
      </c>
      <c r="W46" s="33">
        <f>$S$46</f>
        <v>0.25</v>
      </c>
      <c r="X46" s="33">
        <f>$S$46</f>
        <v>0.25</v>
      </c>
    </row>
    <row r="47" spans="2:24" outlineLevel="1" x14ac:dyDescent="0.25">
      <c r="B47" s="3"/>
      <c r="C47" s="3"/>
      <c r="D47" s="3"/>
      <c r="E47" s="3"/>
      <c r="F47" s="3"/>
      <c r="G47" s="3"/>
      <c r="H47" s="3"/>
      <c r="I47" s="3"/>
      <c r="J47" s="3"/>
      <c r="K47" s="3"/>
      <c r="L47" s="3"/>
      <c r="M47" s="3"/>
      <c r="N47" s="3"/>
      <c r="O47" s="3"/>
      <c r="S47" s="29"/>
      <c r="T47" s="3"/>
      <c r="U47" s="3"/>
      <c r="V47" s="3"/>
      <c r="W47" s="3"/>
      <c r="X47" s="3"/>
    </row>
    <row r="48" spans="2:24" outlineLevel="1" x14ac:dyDescent="0.25">
      <c r="B48" s="3" t="s">
        <v>12</v>
      </c>
      <c r="C48" s="3"/>
      <c r="D48" s="3"/>
      <c r="E48" s="3"/>
      <c r="F48" s="3"/>
      <c r="G48" s="3"/>
      <c r="H48" s="3"/>
      <c r="I48" s="3"/>
      <c r="J48" s="3"/>
      <c r="K48" s="3"/>
      <c r="L48" s="3"/>
      <c r="M48" s="3"/>
      <c r="N48" s="3"/>
      <c r="O48" s="3"/>
      <c r="S48" s="29">
        <f>S$42-S$45</f>
        <v>600</v>
      </c>
      <c r="T48" s="3">
        <f>T$42-T$45</f>
        <v>660</v>
      </c>
      <c r="U48" s="3">
        <f>U$42-U$45</f>
        <v>726</v>
      </c>
      <c r="V48" s="3">
        <f>V$42-V$45</f>
        <v>798.59999999999991</v>
      </c>
      <c r="W48" s="3">
        <f t="shared" ref="W48:X48" si="5">W$42-W$45</f>
        <v>878.46000000000015</v>
      </c>
      <c r="X48" s="3">
        <f t="shared" si="5"/>
        <v>966.30600000000004</v>
      </c>
    </row>
    <row r="49" spans="2:24" ht="14.4" outlineLevel="1" x14ac:dyDescent="0.3">
      <c r="B49" s="53" t="s">
        <v>47</v>
      </c>
      <c r="C49" s="3"/>
      <c r="D49" s="3"/>
      <c r="E49" s="3"/>
      <c r="F49" s="3"/>
      <c r="G49" s="3"/>
      <c r="H49" s="3"/>
      <c r="I49" s="3"/>
      <c r="J49" s="3"/>
      <c r="K49" s="3"/>
      <c r="L49" s="3"/>
      <c r="M49" s="3"/>
      <c r="N49" s="3"/>
      <c r="O49" s="3"/>
      <c r="S49" s="32">
        <f>S$48/S$36</f>
        <v>0.3</v>
      </c>
      <c r="T49" s="33">
        <f>T$48/T$36</f>
        <v>0.3</v>
      </c>
      <c r="U49" s="33">
        <f>U$48/U$36</f>
        <v>0.3</v>
      </c>
      <c r="V49" s="33">
        <f>V$48/V$36</f>
        <v>0.3</v>
      </c>
      <c r="W49" s="33">
        <f t="shared" ref="W49:X49" si="6">W$48/W$36</f>
        <v>0.30000000000000004</v>
      </c>
      <c r="X49" s="33">
        <f t="shared" si="6"/>
        <v>0.3</v>
      </c>
    </row>
    <row r="50" spans="2:24" outlineLevel="1" x14ac:dyDescent="0.25">
      <c r="B50" s="3"/>
      <c r="C50" s="3"/>
      <c r="D50" s="3"/>
      <c r="E50" s="3"/>
      <c r="F50" s="3"/>
      <c r="G50" s="3"/>
      <c r="H50" s="3"/>
      <c r="I50" s="3"/>
      <c r="J50" s="3"/>
      <c r="K50" s="3"/>
      <c r="L50" s="3"/>
      <c r="M50" s="3"/>
      <c r="N50" s="3"/>
      <c r="O50" s="3"/>
      <c r="S50" s="29"/>
      <c r="T50" s="3"/>
      <c r="U50" s="3"/>
      <c r="V50" s="3"/>
      <c r="W50" s="3"/>
      <c r="X50" s="3"/>
    </row>
    <row r="51" spans="2:24" outlineLevel="1" x14ac:dyDescent="0.25">
      <c r="B51" s="3" t="s">
        <v>13</v>
      </c>
      <c r="C51" s="3"/>
      <c r="D51" s="3"/>
      <c r="E51" s="3"/>
      <c r="F51" s="3"/>
      <c r="G51" s="3"/>
      <c r="H51" s="3"/>
      <c r="I51" s="3"/>
      <c r="J51" s="3"/>
      <c r="K51" s="3"/>
      <c r="L51" s="3"/>
      <c r="M51" s="3"/>
      <c r="N51" s="3"/>
      <c r="O51" s="3"/>
      <c r="S51" s="29">
        <f>$G$9</f>
        <v>100</v>
      </c>
      <c r="T51" s="3">
        <f>T$36*T$52</f>
        <v>110</v>
      </c>
      <c r="U51" s="3">
        <f>U$36*U$52</f>
        <v>121</v>
      </c>
      <c r="V51" s="3">
        <f>V$36*V$52</f>
        <v>133.1</v>
      </c>
      <c r="W51" s="3">
        <f t="shared" ref="W51:X51" si="7">W$36*W$52</f>
        <v>146.41000000000003</v>
      </c>
      <c r="X51" s="3">
        <f t="shared" si="7"/>
        <v>161.05100000000004</v>
      </c>
    </row>
    <row r="52" spans="2:24" ht="14.4" outlineLevel="1" x14ac:dyDescent="0.3">
      <c r="B52" s="53" t="s">
        <v>47</v>
      </c>
      <c r="C52" s="3"/>
      <c r="D52" s="3"/>
      <c r="E52" s="3"/>
      <c r="F52" s="3"/>
      <c r="G52" s="3"/>
      <c r="H52" s="3"/>
      <c r="I52" s="3"/>
      <c r="J52" s="3"/>
      <c r="K52" s="3"/>
      <c r="L52" s="3"/>
      <c r="M52" s="3"/>
      <c r="N52" s="3"/>
      <c r="O52" s="3"/>
      <c r="S52" s="32">
        <f>S$51/S$36</f>
        <v>0.05</v>
      </c>
      <c r="T52" s="33">
        <f>$S$52</f>
        <v>0.05</v>
      </c>
      <c r="U52" s="33">
        <f>$S$52</f>
        <v>0.05</v>
      </c>
      <c r="V52" s="33">
        <f>$S$52</f>
        <v>0.05</v>
      </c>
      <c r="W52" s="33">
        <f>$S$52</f>
        <v>0.05</v>
      </c>
      <c r="X52" s="33">
        <f>$S$52</f>
        <v>0.05</v>
      </c>
    </row>
    <row r="53" spans="2:24" outlineLevel="1" x14ac:dyDescent="0.25">
      <c r="B53" s="3"/>
      <c r="C53" s="3"/>
      <c r="D53" s="3"/>
      <c r="E53" s="3"/>
      <c r="F53" s="3"/>
      <c r="G53" s="3"/>
      <c r="H53" s="3"/>
      <c r="I53" s="3"/>
      <c r="J53" s="3"/>
      <c r="K53" s="3"/>
      <c r="L53" s="3"/>
      <c r="M53" s="3"/>
      <c r="N53" s="3"/>
      <c r="O53" s="3"/>
      <c r="S53" s="29"/>
      <c r="T53" s="3"/>
      <c r="U53" s="3"/>
      <c r="V53" s="3"/>
      <c r="W53" s="3"/>
      <c r="X53" s="3"/>
    </row>
    <row r="54" spans="2:24" outlineLevel="1" x14ac:dyDescent="0.25">
      <c r="B54" s="3" t="s">
        <v>48</v>
      </c>
      <c r="C54" s="3"/>
      <c r="D54" s="3"/>
      <c r="E54" s="3"/>
      <c r="F54" s="3"/>
      <c r="G54" s="3"/>
      <c r="H54" s="3"/>
      <c r="I54" s="3"/>
      <c r="J54" s="3"/>
      <c r="K54" s="3"/>
      <c r="L54" s="3"/>
      <c r="M54" s="3"/>
      <c r="N54" s="3"/>
      <c r="O54" s="3"/>
      <c r="S54" s="29">
        <f>S$48-S$51</f>
        <v>500</v>
      </c>
      <c r="T54" s="3">
        <f>T$48-T$51</f>
        <v>550</v>
      </c>
      <c r="U54" s="3">
        <f>U$48-U$51</f>
        <v>605</v>
      </c>
      <c r="V54" s="3">
        <f>V$48-V$51</f>
        <v>665.49999999999989</v>
      </c>
      <c r="W54" s="3">
        <f t="shared" ref="W54:X54" si="8">W$48-W$51</f>
        <v>732.05000000000018</v>
      </c>
      <c r="X54" s="3">
        <f t="shared" si="8"/>
        <v>805.255</v>
      </c>
    </row>
    <row r="55" spans="2:24" ht="14.4" outlineLevel="1" x14ac:dyDescent="0.3">
      <c r="B55" s="53" t="s">
        <v>47</v>
      </c>
      <c r="C55" s="3"/>
      <c r="D55" s="3"/>
      <c r="E55" s="3"/>
      <c r="F55" s="3"/>
      <c r="G55" s="3"/>
      <c r="H55" s="3"/>
      <c r="I55" s="3"/>
      <c r="J55" s="3"/>
      <c r="K55" s="3"/>
      <c r="L55" s="3"/>
      <c r="M55" s="3"/>
      <c r="N55" s="3"/>
      <c r="O55" s="3"/>
      <c r="S55" s="32">
        <f>S$54/S$36</f>
        <v>0.25</v>
      </c>
      <c r="T55" s="33">
        <f>T$54/T$36</f>
        <v>0.25</v>
      </c>
      <c r="U55" s="33">
        <f>U$54/U$36</f>
        <v>0.25</v>
      </c>
      <c r="V55" s="33">
        <f>V$54/V$36</f>
        <v>0.24999999999999994</v>
      </c>
      <c r="W55" s="33">
        <f t="shared" ref="W55:X55" si="9">W$54/W$36</f>
        <v>0.25000000000000006</v>
      </c>
      <c r="X55" s="33">
        <f t="shared" si="9"/>
        <v>0.24999999999999997</v>
      </c>
    </row>
    <row r="56" spans="2:24" outlineLevel="1" x14ac:dyDescent="0.25">
      <c r="B56" s="3"/>
      <c r="C56" s="3"/>
      <c r="D56" s="3"/>
      <c r="E56" s="3"/>
      <c r="F56" s="3"/>
      <c r="G56" s="3"/>
      <c r="H56" s="3"/>
      <c r="I56" s="3"/>
      <c r="J56" s="3"/>
      <c r="K56" s="3"/>
      <c r="L56" s="3"/>
      <c r="M56" s="3"/>
      <c r="N56" s="3"/>
      <c r="O56" s="3"/>
      <c r="S56" s="29"/>
      <c r="T56" s="3"/>
      <c r="U56" s="3"/>
      <c r="V56" s="3"/>
      <c r="W56" s="3"/>
      <c r="X56" s="3"/>
    </row>
    <row r="57" spans="2:24" outlineLevel="1" x14ac:dyDescent="0.25">
      <c r="B57" s="3" t="s">
        <v>52</v>
      </c>
      <c r="C57" s="3"/>
      <c r="D57" s="3"/>
      <c r="E57" s="3"/>
      <c r="F57" s="3"/>
      <c r="G57" s="3"/>
      <c r="H57" s="3"/>
      <c r="I57" s="3"/>
      <c r="J57" s="3"/>
      <c r="K57" s="3"/>
      <c r="L57" s="3"/>
      <c r="M57" s="3"/>
      <c r="N57" s="3"/>
      <c r="O57" s="3"/>
      <c r="S57" s="29"/>
      <c r="T57" s="67">
        <f>T$117</f>
        <v>440</v>
      </c>
      <c r="U57" s="68">
        <f>U$117</f>
        <v>438.28250000000003</v>
      </c>
      <c r="V57" s="68">
        <f>V$117</f>
        <v>433.68448812500003</v>
      </c>
      <c r="W57" s="68">
        <f t="shared" ref="W57:X57" si="10">W$117</f>
        <v>425.75741904640626</v>
      </c>
      <c r="X57" s="68">
        <f t="shared" si="10"/>
        <v>392.72859196639047</v>
      </c>
    </row>
    <row r="58" spans="2:24" outlineLevel="1" x14ac:dyDescent="0.25">
      <c r="B58" s="3"/>
      <c r="C58" s="3"/>
      <c r="D58" s="3"/>
      <c r="E58" s="3"/>
      <c r="F58" s="3"/>
      <c r="G58" s="3"/>
      <c r="H58" s="3"/>
      <c r="I58" s="3"/>
      <c r="J58" s="3"/>
      <c r="K58" s="3"/>
      <c r="L58" s="3"/>
      <c r="M58" s="3"/>
      <c r="N58" s="3"/>
      <c r="O58" s="3"/>
      <c r="S58" s="29"/>
      <c r="T58" s="3"/>
      <c r="U58" s="3"/>
      <c r="V58" s="3"/>
      <c r="W58" s="3"/>
      <c r="X58" s="3"/>
    </row>
    <row r="59" spans="2:24" outlineLevel="1" x14ac:dyDescent="0.25">
      <c r="B59" s="3" t="s">
        <v>49</v>
      </c>
      <c r="C59" s="3"/>
      <c r="D59" s="3"/>
      <c r="E59" s="3"/>
      <c r="F59" s="3"/>
      <c r="G59" s="3"/>
      <c r="H59" s="3"/>
      <c r="I59" s="3"/>
      <c r="J59" s="3"/>
      <c r="K59" s="3"/>
      <c r="L59" s="3"/>
      <c r="M59" s="3"/>
      <c r="N59" s="3"/>
      <c r="O59" s="3"/>
      <c r="S59" s="29"/>
      <c r="T59" s="3">
        <f>T$54-T$57</f>
        <v>110</v>
      </c>
      <c r="U59" s="3">
        <f>U$54-U$57</f>
        <v>166.71749999999997</v>
      </c>
      <c r="V59" s="3">
        <f>V$54-V$57</f>
        <v>231.81551187499986</v>
      </c>
      <c r="W59" s="3">
        <f t="shared" ref="W59:X59" si="11">W$54-W$57</f>
        <v>306.29258095359393</v>
      </c>
      <c r="X59" s="3">
        <f t="shared" si="11"/>
        <v>412.52640803360953</v>
      </c>
    </row>
    <row r="60" spans="2:24" ht="14.4" outlineLevel="1" x14ac:dyDescent="0.3">
      <c r="B60" s="53" t="s">
        <v>47</v>
      </c>
      <c r="C60" s="3"/>
      <c r="D60" s="3"/>
      <c r="E60" s="3"/>
      <c r="F60" s="3"/>
      <c r="G60" s="3"/>
      <c r="H60" s="3"/>
      <c r="I60" s="3"/>
      <c r="J60" s="3"/>
      <c r="K60" s="3"/>
      <c r="L60" s="3"/>
      <c r="M60" s="3"/>
      <c r="N60" s="3"/>
      <c r="O60" s="3"/>
      <c r="S60" s="29"/>
      <c r="T60" s="33">
        <f>T$59/T$36</f>
        <v>0.05</v>
      </c>
      <c r="U60" s="33">
        <f>U$59/U$36</f>
        <v>6.8891528925619824E-2</v>
      </c>
      <c r="V60" s="33">
        <f>V$59/V$36</f>
        <v>8.7083212575131422E-2</v>
      </c>
      <c r="W60" s="33">
        <f t="shared" ref="W60:X60" si="12">W$59/W$36</f>
        <v>0.1046009770348999</v>
      </c>
      <c r="X60" s="33">
        <f t="shared" si="12"/>
        <v>0.12807322153653486</v>
      </c>
    </row>
    <row r="61" spans="2:24" outlineLevel="1" x14ac:dyDescent="0.25">
      <c r="B61" s="3"/>
      <c r="C61" s="3"/>
      <c r="D61" s="3"/>
      <c r="E61" s="3"/>
      <c r="F61" s="3"/>
      <c r="G61" s="3"/>
      <c r="H61" s="3"/>
      <c r="I61" s="3"/>
      <c r="J61" s="3"/>
      <c r="K61" s="3"/>
      <c r="L61" s="3"/>
      <c r="M61" s="3"/>
      <c r="N61" s="3"/>
      <c r="O61" s="3"/>
      <c r="S61" s="29"/>
      <c r="T61" s="3"/>
      <c r="U61" s="3"/>
      <c r="V61" s="3"/>
      <c r="W61" s="3"/>
      <c r="X61" s="3"/>
    </row>
    <row r="62" spans="2:24" outlineLevel="1" x14ac:dyDescent="0.25">
      <c r="B62" s="3" t="s">
        <v>50</v>
      </c>
      <c r="C62" s="3"/>
      <c r="D62" s="3"/>
      <c r="E62" s="3"/>
      <c r="F62" s="3"/>
      <c r="G62" s="3"/>
      <c r="H62" s="3"/>
      <c r="I62" s="3"/>
      <c r="J62" s="3"/>
      <c r="K62" s="3"/>
      <c r="L62" s="3"/>
      <c r="M62" s="3"/>
      <c r="N62" s="3"/>
      <c r="O62" s="3"/>
      <c r="S62" s="29"/>
      <c r="T62" s="3">
        <f>T$59*T$63</f>
        <v>23.099999999999998</v>
      </c>
      <c r="U62" s="3">
        <f>U$59*U$63</f>
        <v>35.010674999999992</v>
      </c>
      <c r="V62" s="3">
        <f>V$59*V$63</f>
        <v>48.681257493749968</v>
      </c>
      <c r="W62" s="3">
        <f t="shared" ref="W62:X62" si="13">W$59*W$63</f>
        <v>64.32144200025472</v>
      </c>
      <c r="X62" s="3">
        <f t="shared" si="13"/>
        <v>86.630545687058003</v>
      </c>
    </row>
    <row r="63" spans="2:24" ht="14.4" outlineLevel="1" x14ac:dyDescent="0.3">
      <c r="B63" s="100" t="s">
        <v>51</v>
      </c>
      <c r="C63" s="100"/>
      <c r="D63" s="3"/>
      <c r="E63" s="3"/>
      <c r="F63" s="3"/>
      <c r="G63" s="3"/>
      <c r="H63" s="3"/>
      <c r="I63" s="3"/>
      <c r="J63" s="3"/>
      <c r="K63" s="3"/>
      <c r="L63" s="3"/>
      <c r="M63" s="3"/>
      <c r="N63" s="3"/>
      <c r="O63" s="3"/>
      <c r="S63" s="29"/>
      <c r="T63" s="33">
        <f>$E$16</f>
        <v>0.21</v>
      </c>
      <c r="U63" s="33">
        <f t="shared" ref="U63:X63" si="14">$E$16</f>
        <v>0.21</v>
      </c>
      <c r="V63" s="33">
        <f t="shared" si="14"/>
        <v>0.21</v>
      </c>
      <c r="W63" s="33">
        <f t="shared" si="14"/>
        <v>0.21</v>
      </c>
      <c r="X63" s="33">
        <f t="shared" si="14"/>
        <v>0.21</v>
      </c>
    </row>
    <row r="64" spans="2:24" outlineLevel="1" x14ac:dyDescent="0.25">
      <c r="B64" s="3"/>
      <c r="C64" s="3"/>
      <c r="D64" s="3"/>
      <c r="E64" s="3"/>
      <c r="F64" s="3"/>
      <c r="G64" s="3"/>
      <c r="H64" s="3"/>
      <c r="I64" s="3"/>
      <c r="J64" s="3"/>
      <c r="K64" s="3"/>
      <c r="L64" s="3"/>
      <c r="M64" s="3"/>
      <c r="N64" s="3"/>
      <c r="O64" s="3"/>
      <c r="S64" s="29"/>
      <c r="T64" s="3"/>
      <c r="U64" s="3"/>
      <c r="V64" s="3"/>
      <c r="W64" s="3"/>
      <c r="X64" s="3"/>
    </row>
    <row r="65" spans="2:24" outlineLevel="1" x14ac:dyDescent="0.25">
      <c r="B65" s="89" t="s">
        <v>59</v>
      </c>
      <c r="C65" s="89"/>
      <c r="D65" s="3"/>
      <c r="E65" s="3"/>
      <c r="F65" s="3"/>
      <c r="G65" s="3"/>
      <c r="H65" s="3"/>
      <c r="I65" s="3"/>
      <c r="J65" s="3"/>
      <c r="K65" s="3"/>
      <c r="L65" s="3"/>
      <c r="M65" s="3"/>
      <c r="N65" s="3"/>
      <c r="O65" s="3"/>
      <c r="S65" s="29"/>
      <c r="T65" s="3">
        <f>T$59-T$62</f>
        <v>86.9</v>
      </c>
      <c r="U65" s="3">
        <f>U$59-U$62</f>
        <v>131.70682499999998</v>
      </c>
      <c r="V65" s="3">
        <f>V$59-V$62</f>
        <v>183.13425438124989</v>
      </c>
      <c r="W65" s="3">
        <f t="shared" ref="W65:X65" si="15">W$59-W$62</f>
        <v>241.97113895333922</v>
      </c>
      <c r="X65" s="3">
        <f t="shared" si="15"/>
        <v>325.89586234655155</v>
      </c>
    </row>
    <row r="66" spans="2:24" ht="14.4" outlineLevel="1" x14ac:dyDescent="0.3">
      <c r="B66" s="53" t="s">
        <v>47</v>
      </c>
      <c r="C66" s="3"/>
      <c r="D66" s="3"/>
      <c r="E66" s="3"/>
      <c r="F66" s="3"/>
      <c r="G66" s="3"/>
      <c r="H66" s="3"/>
      <c r="I66" s="3"/>
      <c r="J66" s="3"/>
      <c r="K66" s="3"/>
      <c r="L66" s="3"/>
      <c r="M66" s="3"/>
      <c r="N66" s="3"/>
      <c r="O66" s="3"/>
      <c r="S66" s="29"/>
      <c r="T66" s="33">
        <f>T$65/T$36</f>
        <v>3.95E-2</v>
      </c>
      <c r="U66" s="33">
        <f>U$65/U$36</f>
        <v>5.442430785123966E-2</v>
      </c>
      <c r="V66" s="33">
        <f>V$65/V$36</f>
        <v>6.8795737934353826E-2</v>
      </c>
      <c r="W66" s="33">
        <f t="shared" ref="W66:X66" si="16">W$65/W$36</f>
        <v>8.2634771857570927E-2</v>
      </c>
      <c r="X66" s="33">
        <f t="shared" si="16"/>
        <v>0.10117784501386254</v>
      </c>
    </row>
    <row r="67" spans="2:24" ht="7.05" customHeight="1" outlineLevel="1" x14ac:dyDescent="0.25">
      <c r="B67" s="3"/>
      <c r="C67" s="3"/>
      <c r="D67" s="3"/>
      <c r="E67" s="3"/>
      <c r="F67" s="3"/>
      <c r="G67" s="3"/>
      <c r="H67" s="3"/>
      <c r="I67" s="3"/>
      <c r="J67" s="3"/>
      <c r="K67" s="3"/>
      <c r="L67" s="3"/>
      <c r="M67" s="3"/>
      <c r="N67" s="3"/>
      <c r="O67" s="3"/>
      <c r="S67" s="3"/>
      <c r="T67" s="3"/>
      <c r="U67" s="3"/>
      <c r="V67" s="3"/>
      <c r="W67" s="3"/>
      <c r="X67" s="3"/>
    </row>
    <row r="68" spans="2:24" outlineLevel="1" x14ac:dyDescent="0.25">
      <c r="B68" s="99" t="s">
        <v>53</v>
      </c>
      <c r="C68" s="99"/>
      <c r="D68" s="7"/>
      <c r="E68" s="7"/>
      <c r="F68" s="7"/>
      <c r="G68" s="7"/>
      <c r="H68" s="7"/>
      <c r="I68" s="7"/>
      <c r="J68" s="7"/>
      <c r="K68" s="7"/>
      <c r="L68" s="7"/>
      <c r="M68" s="7"/>
      <c r="N68" s="7"/>
      <c r="O68" s="7"/>
      <c r="P68" s="7"/>
      <c r="Q68" s="7"/>
      <c r="R68" s="7"/>
      <c r="S68" s="8" t="s">
        <v>41</v>
      </c>
      <c r="T68" s="8" t="s">
        <v>42</v>
      </c>
      <c r="U68" s="8" t="s">
        <v>43</v>
      </c>
      <c r="V68" s="8" t="s">
        <v>44</v>
      </c>
      <c r="W68" s="8" t="s">
        <v>45</v>
      </c>
      <c r="X68" s="8" t="s">
        <v>58</v>
      </c>
    </row>
    <row r="69" spans="2:24" ht="7.05" customHeight="1" outlineLevel="1" x14ac:dyDescent="0.25">
      <c r="B69" s="3"/>
      <c r="C69" s="3"/>
      <c r="D69" s="3"/>
      <c r="E69" s="3"/>
      <c r="F69" s="3"/>
      <c r="G69" s="3"/>
      <c r="H69" s="3"/>
      <c r="I69" s="3"/>
      <c r="J69" s="3"/>
      <c r="K69" s="3"/>
      <c r="L69" s="3"/>
      <c r="M69" s="3"/>
      <c r="N69" s="3"/>
      <c r="O69" s="3"/>
      <c r="S69" s="3"/>
      <c r="T69" s="3"/>
      <c r="U69" s="3"/>
      <c r="V69" s="3"/>
      <c r="W69" s="3"/>
      <c r="X69" s="3"/>
    </row>
    <row r="70" spans="2:24" outlineLevel="1" x14ac:dyDescent="0.25">
      <c r="B70" s="3" t="s">
        <v>13</v>
      </c>
      <c r="C70" s="3"/>
      <c r="D70" s="3"/>
      <c r="E70" s="3"/>
      <c r="F70" s="3"/>
      <c r="G70" s="3"/>
      <c r="H70" s="3"/>
      <c r="I70" s="3"/>
      <c r="J70" s="3"/>
      <c r="K70" s="3"/>
      <c r="L70" s="3"/>
      <c r="M70" s="3"/>
      <c r="N70" s="3"/>
      <c r="O70" s="3"/>
      <c r="S70" s="29">
        <f>S$51</f>
        <v>100</v>
      </c>
      <c r="T70" s="3">
        <f>T$51</f>
        <v>110</v>
      </c>
      <c r="U70" s="3">
        <f>U$51</f>
        <v>121</v>
      </c>
      <c r="V70" s="3">
        <f>V$51</f>
        <v>133.1</v>
      </c>
      <c r="W70" s="3">
        <f t="shared" ref="W70:X70" si="17">W$51</f>
        <v>146.41000000000003</v>
      </c>
      <c r="X70" s="3">
        <f t="shared" si="17"/>
        <v>161.05100000000004</v>
      </c>
    </row>
    <row r="71" spans="2:24" ht="14.4" outlineLevel="1" x14ac:dyDescent="0.3">
      <c r="B71" s="53" t="s">
        <v>47</v>
      </c>
      <c r="C71" s="3"/>
      <c r="D71" s="3"/>
      <c r="E71" s="3"/>
      <c r="F71" s="3"/>
      <c r="G71" s="3"/>
      <c r="H71" s="3"/>
      <c r="I71" s="3"/>
      <c r="J71" s="3"/>
      <c r="K71" s="3"/>
      <c r="L71" s="3"/>
      <c r="M71" s="3"/>
      <c r="N71" s="3"/>
      <c r="O71" s="3"/>
      <c r="S71" s="32">
        <f>S$52</f>
        <v>0.05</v>
      </c>
      <c r="T71" s="33">
        <f>T$52</f>
        <v>0.05</v>
      </c>
      <c r="U71" s="33">
        <f>U$52</f>
        <v>0.05</v>
      </c>
      <c r="V71" s="33">
        <f>V$52</f>
        <v>0.05</v>
      </c>
      <c r="W71" s="33">
        <f t="shared" ref="W71:X71" si="18">W$52</f>
        <v>0.05</v>
      </c>
      <c r="X71" s="33">
        <f t="shared" si="18"/>
        <v>0.05</v>
      </c>
    </row>
    <row r="72" spans="2:24" outlineLevel="1" x14ac:dyDescent="0.25">
      <c r="B72" s="3"/>
      <c r="C72" s="3"/>
      <c r="D72" s="3"/>
      <c r="E72" s="3"/>
      <c r="F72" s="3"/>
      <c r="G72" s="3"/>
      <c r="H72" s="3"/>
      <c r="I72" s="3"/>
      <c r="J72" s="3"/>
      <c r="K72" s="3"/>
      <c r="L72" s="3"/>
      <c r="M72" s="3"/>
      <c r="N72" s="3"/>
      <c r="O72" s="3"/>
      <c r="S72" s="29"/>
      <c r="T72" s="3"/>
      <c r="U72" s="3"/>
      <c r="V72" s="3"/>
      <c r="W72" s="3"/>
      <c r="X72" s="3"/>
    </row>
    <row r="73" spans="2:24" outlineLevel="1" x14ac:dyDescent="0.25">
      <c r="B73" s="89" t="s">
        <v>55</v>
      </c>
      <c r="C73" s="89"/>
      <c r="D73" s="89"/>
      <c r="E73" s="3"/>
      <c r="F73" s="3"/>
      <c r="G73" s="3"/>
      <c r="H73" s="3"/>
      <c r="I73" s="3"/>
      <c r="J73" s="3"/>
      <c r="K73" s="3"/>
      <c r="L73" s="3"/>
      <c r="M73" s="3"/>
      <c r="N73" s="3"/>
      <c r="O73" s="3"/>
      <c r="S73" s="29">
        <f>$G$10</f>
        <v>200</v>
      </c>
      <c r="T73" s="3">
        <f>T$36*T$74</f>
        <v>220</v>
      </c>
      <c r="U73" s="3">
        <f>U$36*U$74</f>
        <v>242</v>
      </c>
      <c r="V73" s="3">
        <f>V$36*V$74</f>
        <v>266.2</v>
      </c>
      <c r="W73" s="3">
        <f t="shared" ref="W73:X73" si="19">W$36*W$74</f>
        <v>292.82000000000005</v>
      </c>
      <c r="X73" s="3">
        <f t="shared" si="19"/>
        <v>322.10200000000009</v>
      </c>
    </row>
    <row r="74" spans="2:24" ht="14.4" outlineLevel="1" x14ac:dyDescent="0.3">
      <c r="B74" s="53" t="s">
        <v>47</v>
      </c>
      <c r="C74" s="3"/>
      <c r="D74" s="3"/>
      <c r="E74" s="3"/>
      <c r="F74" s="3"/>
      <c r="G74" s="3"/>
      <c r="H74" s="3"/>
      <c r="I74" s="3"/>
      <c r="J74" s="3"/>
      <c r="K74" s="3"/>
      <c r="L74" s="3"/>
      <c r="M74" s="3"/>
      <c r="N74" s="3"/>
      <c r="O74" s="3"/>
      <c r="S74" s="32">
        <f>S$73/S$36</f>
        <v>0.1</v>
      </c>
      <c r="T74" s="33">
        <f>$S$74</f>
        <v>0.1</v>
      </c>
      <c r="U74" s="33">
        <f>$S$74</f>
        <v>0.1</v>
      </c>
      <c r="V74" s="33">
        <f>$S$74</f>
        <v>0.1</v>
      </c>
      <c r="W74" s="33">
        <f>$S$74</f>
        <v>0.1</v>
      </c>
      <c r="X74" s="33">
        <f>$S$74</f>
        <v>0.1</v>
      </c>
    </row>
    <row r="75" spans="2:24" outlineLevel="1" x14ac:dyDescent="0.25">
      <c r="B75" s="3"/>
      <c r="C75" s="3"/>
      <c r="D75" s="3"/>
      <c r="E75" s="3"/>
      <c r="F75" s="3"/>
      <c r="G75" s="3"/>
      <c r="H75" s="3"/>
      <c r="I75" s="3"/>
      <c r="J75" s="3"/>
      <c r="K75" s="3"/>
      <c r="L75" s="3"/>
      <c r="M75" s="3"/>
      <c r="N75" s="3"/>
      <c r="O75" s="3"/>
      <c r="S75" s="29"/>
      <c r="T75" s="3"/>
      <c r="U75" s="3"/>
      <c r="V75" s="3"/>
      <c r="W75" s="3"/>
      <c r="X75" s="3"/>
    </row>
    <row r="76" spans="2:24" outlineLevel="1" x14ac:dyDescent="0.25">
      <c r="B76" s="89" t="s">
        <v>56</v>
      </c>
      <c r="C76" s="89"/>
      <c r="D76" s="89"/>
      <c r="E76" s="89"/>
      <c r="F76" s="39"/>
      <c r="G76" s="39"/>
      <c r="H76" s="39"/>
      <c r="I76" s="3"/>
      <c r="J76" s="3"/>
      <c r="K76" s="3"/>
      <c r="L76" s="3"/>
      <c r="M76" s="3"/>
      <c r="N76" s="3"/>
      <c r="O76" s="3"/>
      <c r="S76" s="29"/>
      <c r="T76" s="3">
        <f>T73-S73</f>
        <v>20</v>
      </c>
      <c r="U76" s="3">
        <f>U73-T73</f>
        <v>22</v>
      </c>
      <c r="V76" s="3">
        <f>V73-U73</f>
        <v>24.199999999999989</v>
      </c>
      <c r="W76" s="3">
        <f>W73-V73</f>
        <v>26.620000000000061</v>
      </c>
      <c r="X76" s="3">
        <f t="shared" ref="X76" si="20">X73-W73</f>
        <v>29.282000000000039</v>
      </c>
    </row>
    <row r="77" spans="2:24" outlineLevel="1" x14ac:dyDescent="0.25">
      <c r="B77" s="3"/>
      <c r="C77" s="3"/>
      <c r="D77" s="3"/>
      <c r="E77" s="3"/>
      <c r="F77" s="3"/>
      <c r="G77" s="3"/>
      <c r="H77" s="3"/>
      <c r="I77" s="3"/>
      <c r="J77" s="3"/>
      <c r="K77" s="3"/>
      <c r="L77" s="3"/>
      <c r="M77" s="3"/>
      <c r="N77" s="3"/>
      <c r="O77" s="3"/>
      <c r="S77" s="29"/>
      <c r="T77" s="3"/>
      <c r="U77" s="3"/>
      <c r="V77" s="3"/>
      <c r="W77" s="3"/>
      <c r="X77" s="3"/>
    </row>
    <row r="78" spans="2:24" outlineLevel="1" x14ac:dyDescent="0.25">
      <c r="B78" s="3" t="s">
        <v>57</v>
      </c>
      <c r="C78" s="3"/>
      <c r="D78" s="3"/>
      <c r="E78" s="3"/>
      <c r="F78" s="3"/>
      <c r="G78" s="3"/>
      <c r="H78" s="3"/>
      <c r="I78" s="3"/>
      <c r="J78" s="3"/>
      <c r="K78" s="3"/>
      <c r="L78" s="3"/>
      <c r="M78" s="3"/>
      <c r="N78" s="3"/>
      <c r="O78" s="3"/>
      <c r="S78" s="29">
        <f>$G$11</f>
        <v>140</v>
      </c>
      <c r="T78" s="3">
        <f>T$36*T$79</f>
        <v>154.00000000000003</v>
      </c>
      <c r="U78" s="3">
        <f>U$36*U$79</f>
        <v>169.4</v>
      </c>
      <c r="V78" s="3">
        <f>V$36*V$79</f>
        <v>186.34000000000003</v>
      </c>
      <c r="W78" s="3">
        <f t="shared" ref="W78:X78" si="21">W$36*W$79</f>
        <v>204.97400000000005</v>
      </c>
      <c r="X78" s="3">
        <f t="shared" si="21"/>
        <v>225.47140000000005</v>
      </c>
    </row>
    <row r="79" spans="2:24" ht="14.4" outlineLevel="1" x14ac:dyDescent="0.3">
      <c r="B79" s="53" t="s">
        <v>47</v>
      </c>
      <c r="C79" s="3"/>
      <c r="D79" s="3"/>
      <c r="E79" s="3"/>
      <c r="F79" s="3"/>
      <c r="G79" s="3"/>
      <c r="H79" s="3"/>
      <c r="I79" s="3"/>
      <c r="J79" s="3"/>
      <c r="K79" s="3"/>
      <c r="L79" s="3"/>
      <c r="M79" s="3"/>
      <c r="N79" s="3"/>
      <c r="O79" s="3"/>
      <c r="S79" s="32">
        <f>S$78/S$36</f>
        <v>7.0000000000000007E-2</v>
      </c>
      <c r="T79" s="33">
        <f>$S$79</f>
        <v>7.0000000000000007E-2</v>
      </c>
      <c r="U79" s="33">
        <f>$S$79</f>
        <v>7.0000000000000007E-2</v>
      </c>
      <c r="V79" s="33">
        <f>$S$79</f>
        <v>7.0000000000000007E-2</v>
      </c>
      <c r="W79" s="33">
        <f>$S$79</f>
        <v>7.0000000000000007E-2</v>
      </c>
      <c r="X79" s="33">
        <f>$S$79</f>
        <v>7.0000000000000007E-2</v>
      </c>
    </row>
    <row r="80" spans="2:24" ht="7.05" customHeight="1" outlineLevel="1" x14ac:dyDescent="0.25">
      <c r="B80" s="3"/>
      <c r="C80" s="3"/>
      <c r="D80" s="3"/>
      <c r="E80" s="3"/>
      <c r="F80" s="3"/>
      <c r="G80" s="3"/>
      <c r="H80" s="3"/>
      <c r="I80" s="3"/>
      <c r="J80" s="3"/>
      <c r="K80" s="3"/>
      <c r="L80" s="3"/>
      <c r="M80" s="3"/>
      <c r="N80" s="3"/>
      <c r="O80" s="3"/>
      <c r="S80" s="3"/>
      <c r="T80" s="3"/>
      <c r="U80" s="3"/>
      <c r="V80" s="3"/>
      <c r="W80" s="3"/>
      <c r="X80" s="3"/>
    </row>
    <row r="81" spans="2:24" outlineLevel="1" x14ac:dyDescent="0.25">
      <c r="B81" s="6" t="s">
        <v>60</v>
      </c>
      <c r="C81" s="7"/>
      <c r="D81" s="7"/>
      <c r="E81" s="7"/>
      <c r="F81" s="7"/>
      <c r="G81" s="7"/>
      <c r="H81" s="7"/>
      <c r="I81" s="7"/>
      <c r="J81" s="7"/>
      <c r="K81" s="7"/>
      <c r="L81" s="7"/>
      <c r="M81" s="7"/>
      <c r="N81" s="7"/>
      <c r="O81" s="7"/>
      <c r="P81" s="7"/>
      <c r="Q81" s="7"/>
      <c r="R81" s="7"/>
      <c r="S81" s="8" t="s">
        <v>41</v>
      </c>
      <c r="T81" s="8" t="s">
        <v>42</v>
      </c>
      <c r="U81" s="8" t="s">
        <v>43</v>
      </c>
      <c r="V81" s="8" t="s">
        <v>44</v>
      </c>
      <c r="W81" s="8" t="s">
        <v>45</v>
      </c>
      <c r="X81" s="8" t="s">
        <v>58</v>
      </c>
    </row>
    <row r="82" spans="2:24" ht="7.05" customHeight="1" outlineLevel="1" x14ac:dyDescent="0.25">
      <c r="B82" s="3"/>
      <c r="C82" s="3"/>
      <c r="D82" s="3"/>
      <c r="E82" s="3"/>
      <c r="F82" s="3"/>
      <c r="G82" s="3"/>
      <c r="H82" s="3"/>
      <c r="I82" s="3"/>
      <c r="J82" s="3"/>
      <c r="K82" s="3"/>
      <c r="L82" s="3"/>
      <c r="M82" s="3"/>
      <c r="N82" s="3"/>
      <c r="O82" s="3"/>
      <c r="S82" s="3"/>
      <c r="T82" s="3"/>
      <c r="U82" s="3"/>
      <c r="V82" s="3"/>
      <c r="W82" s="3"/>
      <c r="X82" s="3"/>
    </row>
    <row r="83" spans="2:24" outlineLevel="1" x14ac:dyDescent="0.25">
      <c r="B83" s="89" t="s">
        <v>59</v>
      </c>
      <c r="C83" s="89"/>
      <c r="D83" s="3"/>
      <c r="E83" s="3"/>
      <c r="F83" s="3"/>
      <c r="G83" s="3"/>
      <c r="H83" s="3"/>
      <c r="I83" s="3"/>
      <c r="J83" s="3"/>
      <c r="K83" s="3"/>
      <c r="L83" s="3"/>
      <c r="M83" s="3"/>
      <c r="N83" s="3"/>
      <c r="O83" s="3"/>
      <c r="S83" s="29"/>
      <c r="T83" s="3">
        <f>T$65</f>
        <v>86.9</v>
      </c>
      <c r="U83" s="3">
        <f>U$65</f>
        <v>131.70682499999998</v>
      </c>
      <c r="V83" s="3">
        <f>V$65</f>
        <v>183.13425438124989</v>
      </c>
      <c r="W83" s="3">
        <f t="shared" ref="W83:X83" si="22">W$65</f>
        <v>241.97113895333922</v>
      </c>
      <c r="X83" s="3">
        <f t="shared" si="22"/>
        <v>325.89586234655155</v>
      </c>
    </row>
    <row r="84" spans="2:24" outlineLevel="1" x14ac:dyDescent="0.25">
      <c r="B84" s="3" t="s">
        <v>54</v>
      </c>
      <c r="C84" s="3"/>
      <c r="D84" s="3"/>
      <c r="E84" s="3"/>
      <c r="F84" s="3"/>
      <c r="G84" s="3"/>
      <c r="H84" s="3"/>
      <c r="I84" s="3"/>
      <c r="J84" s="3"/>
      <c r="K84" s="3"/>
      <c r="L84" s="3"/>
      <c r="M84" s="3"/>
      <c r="N84" s="3"/>
      <c r="O84" s="3"/>
      <c r="S84" s="29"/>
      <c r="T84" s="3">
        <f>T$70</f>
        <v>110</v>
      </c>
      <c r="U84" s="3">
        <f>U$70</f>
        <v>121</v>
      </c>
      <c r="V84" s="3">
        <f>V$70</f>
        <v>133.1</v>
      </c>
      <c r="W84" s="3">
        <f t="shared" ref="W84:X84" si="23">W$70</f>
        <v>146.41000000000003</v>
      </c>
      <c r="X84" s="3">
        <f t="shared" si="23"/>
        <v>161.05100000000004</v>
      </c>
    </row>
    <row r="85" spans="2:24" outlineLevel="1" x14ac:dyDescent="0.25">
      <c r="B85" s="3" t="s">
        <v>57</v>
      </c>
      <c r="C85" s="3"/>
      <c r="D85" s="3"/>
      <c r="E85" s="3"/>
      <c r="F85" s="3"/>
      <c r="G85" s="3"/>
      <c r="H85" s="3"/>
      <c r="I85" s="3"/>
      <c r="J85" s="3"/>
      <c r="K85" s="3"/>
      <c r="L85" s="3"/>
      <c r="M85" s="3"/>
      <c r="N85" s="3"/>
      <c r="O85" s="3"/>
      <c r="S85" s="29"/>
      <c r="T85" s="3">
        <f>T$78</f>
        <v>154.00000000000003</v>
      </c>
      <c r="U85" s="3">
        <f>U$78</f>
        <v>169.4</v>
      </c>
      <c r="V85" s="3">
        <f>V$78</f>
        <v>186.34000000000003</v>
      </c>
      <c r="W85" s="3">
        <f t="shared" ref="W85:X85" si="24">W$78</f>
        <v>204.97400000000005</v>
      </c>
      <c r="X85" s="3">
        <f t="shared" si="24"/>
        <v>225.47140000000005</v>
      </c>
    </row>
    <row r="86" spans="2:24" outlineLevel="1" x14ac:dyDescent="0.25">
      <c r="B86" s="89" t="s">
        <v>61</v>
      </c>
      <c r="C86" s="89"/>
      <c r="D86" s="3"/>
      <c r="E86" s="3"/>
      <c r="F86" s="3"/>
      <c r="G86" s="3"/>
      <c r="H86" s="3"/>
      <c r="I86" s="3"/>
      <c r="J86" s="3"/>
      <c r="K86" s="3"/>
      <c r="L86" s="3"/>
      <c r="M86" s="3"/>
      <c r="N86" s="3"/>
      <c r="O86" s="3"/>
      <c r="S86" s="29"/>
      <c r="T86" s="3">
        <f>T$76</f>
        <v>20</v>
      </c>
      <c r="U86" s="3">
        <f>U$76</f>
        <v>22</v>
      </c>
      <c r="V86" s="3">
        <f>V$76</f>
        <v>24.199999999999989</v>
      </c>
      <c r="W86" s="3">
        <f t="shared" ref="W86:X86" si="25">W$76</f>
        <v>26.620000000000061</v>
      </c>
      <c r="X86" s="3">
        <f t="shared" si="25"/>
        <v>29.282000000000039</v>
      </c>
    </row>
    <row r="87" spans="2:24" ht="7.05" customHeight="1" outlineLevel="1" x14ac:dyDescent="0.25">
      <c r="B87" s="3"/>
      <c r="C87" s="3"/>
      <c r="D87" s="3"/>
      <c r="E87" s="3"/>
      <c r="F87" s="3"/>
      <c r="G87" s="3"/>
      <c r="H87" s="3"/>
      <c r="I87" s="3"/>
      <c r="J87" s="3"/>
      <c r="K87" s="3"/>
      <c r="L87" s="3"/>
      <c r="M87" s="3"/>
      <c r="N87" s="3"/>
      <c r="O87" s="3"/>
      <c r="S87" s="3"/>
      <c r="T87" s="3"/>
      <c r="U87" s="3"/>
      <c r="V87" s="3"/>
      <c r="W87" s="3"/>
      <c r="X87" s="3"/>
    </row>
    <row r="88" spans="2:24" outlineLevel="1" x14ac:dyDescent="0.25">
      <c r="B88" s="93" t="s">
        <v>60</v>
      </c>
      <c r="C88" s="93"/>
      <c r="D88" s="93"/>
      <c r="E88" s="61"/>
      <c r="F88" s="61"/>
      <c r="G88" s="61"/>
      <c r="H88" s="61"/>
      <c r="I88" s="61"/>
      <c r="J88" s="61"/>
      <c r="K88" s="61"/>
      <c r="L88" s="61"/>
      <c r="M88" s="61"/>
      <c r="N88" s="61"/>
      <c r="O88" s="61"/>
      <c r="P88" s="61"/>
      <c r="Q88" s="61"/>
      <c r="R88" s="61"/>
      <c r="S88" s="61"/>
      <c r="T88" s="64">
        <f>T83+T84-T85-T86</f>
        <v>22.899999999999977</v>
      </c>
      <c r="U88" s="64">
        <f>U83+U84-U85-U86</f>
        <v>61.306824999999975</v>
      </c>
      <c r="V88" s="64">
        <f>V83+V84-V85-V86</f>
        <v>105.69425438124989</v>
      </c>
      <c r="W88" s="64">
        <f t="shared" ref="W88:X88" si="26">W83+W84-W85-W86</f>
        <v>156.78713895333914</v>
      </c>
      <c r="X88" s="64">
        <f t="shared" si="26"/>
        <v>232.19346234655154</v>
      </c>
    </row>
    <row r="89" spans="2:24" x14ac:dyDescent="0.25">
      <c r="B89" s="3"/>
      <c r="C89" s="3"/>
      <c r="D89" s="3"/>
      <c r="E89" s="3"/>
      <c r="F89" s="3"/>
      <c r="G89" s="3"/>
      <c r="H89" s="3"/>
      <c r="I89" s="3"/>
      <c r="J89" s="3"/>
      <c r="K89" s="3"/>
      <c r="L89" s="3"/>
      <c r="M89" s="3"/>
      <c r="N89" s="3"/>
      <c r="O89" s="3"/>
      <c r="S89" s="3"/>
      <c r="T89" s="3"/>
      <c r="U89" s="3"/>
      <c r="V89" s="3"/>
      <c r="W89" s="3"/>
      <c r="X89" s="3"/>
    </row>
    <row r="90" spans="2:24" x14ac:dyDescent="0.25">
      <c r="B90" s="96" t="s">
        <v>62</v>
      </c>
      <c r="C90" s="96"/>
      <c r="D90" s="4"/>
      <c r="E90" s="4"/>
      <c r="F90" s="4"/>
      <c r="G90" s="4"/>
      <c r="H90" s="4"/>
      <c r="I90" s="4"/>
      <c r="J90" s="4"/>
      <c r="K90" s="4"/>
      <c r="L90" s="4"/>
      <c r="M90" s="4"/>
      <c r="N90" s="4"/>
      <c r="O90" s="4"/>
      <c r="P90" s="4"/>
      <c r="Q90" s="4"/>
      <c r="R90" s="4"/>
      <c r="S90" s="4"/>
      <c r="T90" s="4"/>
      <c r="U90" s="4"/>
      <c r="V90" s="4"/>
      <c r="W90" s="4"/>
      <c r="X90" s="4"/>
    </row>
    <row r="91" spans="2:24" ht="7.05" customHeight="1" outlineLevel="1" x14ac:dyDescent="0.25">
      <c r="B91" s="3"/>
      <c r="C91" s="3"/>
      <c r="D91" s="3"/>
      <c r="E91" s="3"/>
      <c r="F91" s="3"/>
      <c r="G91" s="3"/>
      <c r="H91" s="3"/>
      <c r="I91" s="3"/>
      <c r="J91" s="3"/>
      <c r="K91" s="3"/>
      <c r="L91" s="3"/>
      <c r="M91" s="3"/>
      <c r="N91" s="3"/>
      <c r="O91" s="3"/>
      <c r="S91" s="3"/>
      <c r="T91" s="3"/>
      <c r="U91" s="3"/>
      <c r="V91" s="3"/>
      <c r="W91" s="3"/>
      <c r="X91" s="3"/>
    </row>
    <row r="92" spans="2:24" outlineLevel="1" x14ac:dyDescent="0.25">
      <c r="B92" s="7"/>
      <c r="C92" s="7"/>
      <c r="D92" s="7"/>
      <c r="E92" s="7"/>
      <c r="F92" s="7"/>
      <c r="G92" s="7"/>
      <c r="H92" s="7"/>
      <c r="I92" s="7"/>
      <c r="J92" s="7"/>
      <c r="K92" s="7"/>
      <c r="L92" s="7"/>
      <c r="M92" s="7"/>
      <c r="N92" s="7"/>
      <c r="O92" s="7"/>
      <c r="P92" s="7"/>
      <c r="Q92" s="7"/>
      <c r="R92" s="7"/>
      <c r="S92" s="8" t="s">
        <v>41</v>
      </c>
      <c r="T92" s="8" t="s">
        <v>42</v>
      </c>
      <c r="U92" s="8" t="s">
        <v>43</v>
      </c>
      <c r="V92" s="8" t="s">
        <v>44</v>
      </c>
      <c r="W92" s="8" t="s">
        <v>45</v>
      </c>
      <c r="X92" s="8" t="s">
        <v>58</v>
      </c>
    </row>
    <row r="93" spans="2:24" ht="7.05" customHeight="1" outlineLevel="1" x14ac:dyDescent="0.25">
      <c r="B93" s="39"/>
      <c r="C93" s="39"/>
      <c r="D93" s="39"/>
      <c r="E93" s="3"/>
      <c r="F93" s="3"/>
      <c r="G93" s="3"/>
      <c r="H93" s="3"/>
      <c r="I93" s="3"/>
      <c r="J93" s="3"/>
      <c r="K93" s="3"/>
      <c r="L93" s="3"/>
      <c r="M93" s="3"/>
      <c r="N93" s="3"/>
      <c r="O93" s="3"/>
      <c r="P93" s="3"/>
      <c r="Q93" s="3"/>
      <c r="R93" s="3"/>
      <c r="S93" s="3"/>
      <c r="T93" s="3"/>
      <c r="U93" s="3"/>
      <c r="V93" s="3"/>
      <c r="W93" s="3"/>
      <c r="X93" s="3"/>
    </row>
    <row r="94" spans="2:24" outlineLevel="1" x14ac:dyDescent="0.25">
      <c r="B94" s="92" t="s">
        <v>75</v>
      </c>
      <c r="C94" s="92"/>
      <c r="D94" s="39"/>
      <c r="E94" s="3"/>
      <c r="F94" s="3"/>
      <c r="G94" s="3"/>
      <c r="H94" s="3"/>
      <c r="I94" s="3"/>
      <c r="J94" s="3"/>
      <c r="K94" s="3"/>
      <c r="L94" s="3"/>
      <c r="M94" s="3"/>
      <c r="N94" s="3"/>
      <c r="O94" s="3"/>
      <c r="P94" s="3"/>
      <c r="Q94" s="3"/>
      <c r="R94" s="3"/>
      <c r="S94" s="29"/>
      <c r="T94" s="3"/>
      <c r="U94" s="3"/>
      <c r="V94" s="3"/>
      <c r="W94" s="3"/>
      <c r="X94" s="3"/>
    </row>
    <row r="95" spans="2:24" outlineLevel="1" x14ac:dyDescent="0.25">
      <c r="B95" s="94" t="s">
        <v>63</v>
      </c>
      <c r="C95" s="94"/>
      <c r="D95" s="94"/>
      <c r="E95" s="3"/>
      <c r="F95" s="3"/>
      <c r="G95" s="3"/>
      <c r="H95" s="3"/>
      <c r="I95" s="3"/>
      <c r="J95" s="3"/>
      <c r="K95" s="3"/>
      <c r="L95" s="3"/>
      <c r="M95" s="3"/>
      <c r="N95" s="3"/>
      <c r="O95" s="3"/>
      <c r="P95" s="3"/>
      <c r="Q95" s="3"/>
      <c r="R95" s="3"/>
      <c r="S95" s="29"/>
      <c r="T95" s="3">
        <f>S$99</f>
        <v>200</v>
      </c>
      <c r="U95" s="3">
        <f>T$99</f>
        <v>177.10000000000002</v>
      </c>
      <c r="V95" s="3">
        <f>U$99</f>
        <v>115.79317500000005</v>
      </c>
      <c r="W95" s="3">
        <f>V$99</f>
        <v>10.098920618750157</v>
      </c>
      <c r="X95" s="3">
        <f t="shared" ref="X95" si="27">W$99</f>
        <v>0</v>
      </c>
    </row>
    <row r="96" spans="2:24" outlineLevel="1" x14ac:dyDescent="0.25">
      <c r="B96" s="36" t="s">
        <v>52</v>
      </c>
      <c r="C96" s="36"/>
      <c r="D96" s="36"/>
      <c r="E96" s="3"/>
      <c r="F96" s="3"/>
      <c r="G96" s="3"/>
      <c r="H96" s="3"/>
      <c r="I96" s="3"/>
      <c r="J96" s="3"/>
      <c r="K96" s="3"/>
      <c r="L96" s="3"/>
      <c r="M96" s="3"/>
      <c r="N96" s="3"/>
      <c r="O96" s="3"/>
      <c r="P96" s="3"/>
      <c r="Q96" s="3"/>
      <c r="R96" s="3"/>
      <c r="S96" s="29"/>
      <c r="T96" s="3">
        <f>T$95*$X$5</f>
        <v>15</v>
      </c>
      <c r="U96" s="3">
        <f>U$95*$X$5</f>
        <v>13.282500000000001</v>
      </c>
      <c r="V96" s="3">
        <f>V$95*$X$5</f>
        <v>8.6844881250000032</v>
      </c>
      <c r="W96" s="3">
        <f>W$95*$X$5</f>
        <v>0.75741904640626168</v>
      </c>
      <c r="X96" s="3">
        <f>X$95*$X$5</f>
        <v>0</v>
      </c>
    </row>
    <row r="97" spans="2:24" outlineLevel="1" x14ac:dyDescent="0.25">
      <c r="B97" s="94" t="s">
        <v>64</v>
      </c>
      <c r="C97" s="94"/>
      <c r="D97" s="36"/>
      <c r="E97" s="3"/>
      <c r="F97" s="3"/>
      <c r="G97" s="3"/>
      <c r="H97" s="3"/>
      <c r="I97" s="3"/>
      <c r="J97" s="3"/>
      <c r="K97" s="3"/>
      <c r="L97" s="3"/>
      <c r="M97" s="3"/>
      <c r="N97" s="3"/>
      <c r="O97" s="3"/>
      <c r="P97" s="3"/>
      <c r="Q97" s="3"/>
      <c r="R97" s="3"/>
      <c r="S97" s="29"/>
      <c r="T97" s="3">
        <f>MIN(T88,T95)</f>
        <v>22.899999999999977</v>
      </c>
      <c r="U97" s="3">
        <f>MIN(U88,U95)</f>
        <v>61.306824999999975</v>
      </c>
      <c r="V97" s="3">
        <f>MIN(V88,V95)</f>
        <v>105.69425438124989</v>
      </c>
      <c r="W97" s="3">
        <f t="shared" ref="W97:X97" si="28">MIN(W88,W95)</f>
        <v>10.098920618750157</v>
      </c>
      <c r="X97" s="3">
        <f t="shared" si="28"/>
        <v>0</v>
      </c>
    </row>
    <row r="98" spans="2:24" ht="7.05" customHeight="1" outlineLevel="1" x14ac:dyDescent="0.25">
      <c r="B98" s="39"/>
      <c r="C98" s="39"/>
      <c r="D98" s="39"/>
      <c r="E98" s="3"/>
      <c r="F98" s="3"/>
      <c r="G98" s="3"/>
      <c r="H98" s="3"/>
      <c r="I98" s="3"/>
      <c r="J98" s="3"/>
      <c r="K98" s="3"/>
      <c r="L98" s="3"/>
      <c r="M98" s="3"/>
      <c r="N98" s="3"/>
      <c r="O98" s="3"/>
      <c r="P98" s="3"/>
      <c r="Q98" s="3"/>
      <c r="R98" s="3"/>
      <c r="S98" s="3"/>
      <c r="T98" s="3"/>
      <c r="U98" s="3"/>
      <c r="V98" s="3"/>
      <c r="W98" s="3"/>
      <c r="X98" s="3"/>
    </row>
    <row r="99" spans="2:24" outlineLevel="1" x14ac:dyDescent="0.25">
      <c r="B99" s="93" t="s">
        <v>65</v>
      </c>
      <c r="C99" s="93"/>
      <c r="D99" s="66"/>
      <c r="E99" s="61"/>
      <c r="F99" s="61"/>
      <c r="G99" s="61"/>
      <c r="H99" s="61"/>
      <c r="I99" s="61"/>
      <c r="J99" s="61"/>
      <c r="K99" s="61"/>
      <c r="L99" s="61"/>
      <c r="M99" s="61"/>
      <c r="N99" s="61"/>
      <c r="O99" s="61"/>
      <c r="P99" s="61"/>
      <c r="Q99" s="61"/>
      <c r="R99" s="61"/>
      <c r="S99" s="64">
        <f>$H$23</f>
        <v>200</v>
      </c>
      <c r="T99" s="64">
        <f>T95-T97</f>
        <v>177.10000000000002</v>
      </c>
      <c r="U99" s="64">
        <f>U95-U97</f>
        <v>115.79317500000005</v>
      </c>
      <c r="V99" s="64">
        <f>V95-V97</f>
        <v>10.098920618750157</v>
      </c>
      <c r="W99" s="64">
        <f t="shared" ref="W99:X99" si="29">W95-W97</f>
        <v>0</v>
      </c>
      <c r="X99" s="64">
        <f t="shared" si="29"/>
        <v>0</v>
      </c>
    </row>
    <row r="100" spans="2:24" ht="7.05" customHeight="1" outlineLevel="1" x14ac:dyDescent="0.25">
      <c r="B100" s="39"/>
      <c r="C100" s="39"/>
      <c r="D100" s="39"/>
      <c r="E100" s="3"/>
      <c r="F100" s="3"/>
      <c r="G100" s="3"/>
      <c r="H100" s="3"/>
      <c r="I100" s="3"/>
      <c r="J100" s="3"/>
      <c r="K100" s="3"/>
      <c r="L100" s="3"/>
      <c r="M100" s="3"/>
      <c r="N100" s="3"/>
      <c r="O100" s="3"/>
      <c r="P100" s="3"/>
      <c r="Q100" s="3"/>
      <c r="R100" s="3"/>
      <c r="S100" s="3"/>
      <c r="T100" s="3"/>
      <c r="U100" s="3"/>
      <c r="V100" s="3"/>
      <c r="W100" s="3"/>
      <c r="X100" s="3"/>
    </row>
    <row r="101" spans="2:24" outlineLevel="1" x14ac:dyDescent="0.25">
      <c r="B101" s="92" t="s">
        <v>19</v>
      </c>
      <c r="C101" s="92"/>
      <c r="D101" s="39"/>
      <c r="E101" s="3"/>
      <c r="F101" s="3"/>
      <c r="G101" s="3"/>
      <c r="H101" s="3"/>
      <c r="I101" s="3"/>
      <c r="J101" s="30"/>
      <c r="K101" s="3"/>
      <c r="L101" s="3"/>
      <c r="M101" s="3"/>
      <c r="N101" s="3"/>
      <c r="O101" s="3"/>
      <c r="P101" s="3"/>
      <c r="Q101" s="3"/>
      <c r="R101" s="3"/>
      <c r="S101" s="29"/>
      <c r="T101" s="3"/>
      <c r="U101" s="3"/>
      <c r="V101" s="3"/>
      <c r="W101" s="3"/>
      <c r="X101" s="3"/>
    </row>
    <row r="102" spans="2:24" outlineLevel="1" x14ac:dyDescent="0.25">
      <c r="B102" s="94" t="s">
        <v>63</v>
      </c>
      <c r="C102" s="94"/>
      <c r="D102" s="94"/>
      <c r="E102" s="3"/>
      <c r="F102" s="3"/>
      <c r="G102" s="3"/>
      <c r="H102" s="3"/>
      <c r="I102" s="3"/>
      <c r="J102" s="3"/>
      <c r="K102" s="3"/>
      <c r="L102" s="3"/>
      <c r="M102" s="3"/>
      <c r="N102" s="3"/>
      <c r="O102" s="3"/>
      <c r="P102" s="3"/>
      <c r="Q102" s="3"/>
      <c r="R102" s="3"/>
      <c r="S102" s="29"/>
      <c r="T102" s="3">
        <f>S$106</f>
        <v>2500</v>
      </c>
      <c r="U102" s="3">
        <f>T$106</f>
        <v>2500</v>
      </c>
      <c r="V102" s="3">
        <f>U$106</f>
        <v>2500</v>
      </c>
      <c r="W102" s="3">
        <f>V$106</f>
        <v>2500</v>
      </c>
      <c r="X102" s="3">
        <f t="shared" ref="X102" si="30">W$106</f>
        <v>2353.3117816654112</v>
      </c>
    </row>
    <row r="103" spans="2:24" outlineLevel="1" x14ac:dyDescent="0.25">
      <c r="B103" s="36" t="s">
        <v>52</v>
      </c>
      <c r="C103" s="36"/>
      <c r="D103" s="36"/>
      <c r="E103" s="3"/>
      <c r="F103" s="3"/>
      <c r="G103" s="3"/>
      <c r="H103" s="3"/>
      <c r="I103" s="3"/>
      <c r="J103" s="3"/>
      <c r="K103" s="3"/>
      <c r="L103" s="3"/>
      <c r="M103" s="3"/>
      <c r="N103" s="3"/>
      <c r="O103" s="3"/>
      <c r="P103" s="3"/>
      <c r="Q103" s="3"/>
      <c r="R103" s="3"/>
      <c r="S103" s="29"/>
      <c r="T103" s="3">
        <f>T$102*$X$6</f>
        <v>237.5</v>
      </c>
      <c r="U103" s="3">
        <f>U$102*$X$6</f>
        <v>237.5</v>
      </c>
      <c r="V103" s="3">
        <f>V$102*$X$6</f>
        <v>237.5</v>
      </c>
      <c r="W103" s="3">
        <f>W$102*$X$6</f>
        <v>237.5</v>
      </c>
      <c r="X103" s="3">
        <f>X$102*$X$6</f>
        <v>223.56461925821407</v>
      </c>
    </row>
    <row r="104" spans="2:24" outlineLevel="1" x14ac:dyDescent="0.25">
      <c r="B104" s="94" t="s">
        <v>64</v>
      </c>
      <c r="C104" s="94"/>
      <c r="D104" s="36"/>
      <c r="E104" s="3"/>
      <c r="F104" s="3"/>
      <c r="G104" s="3"/>
      <c r="H104" s="3"/>
      <c r="I104" s="3"/>
      <c r="J104" s="3"/>
      <c r="K104" s="3"/>
      <c r="L104" s="3"/>
      <c r="M104" s="3"/>
      <c r="N104" s="3"/>
      <c r="O104" s="3"/>
      <c r="P104" s="3"/>
      <c r="Q104" s="3"/>
      <c r="R104" s="3"/>
      <c r="S104" s="29"/>
      <c r="T104" s="3">
        <f>MIN(T$102,T$88-T$97)</f>
        <v>0</v>
      </c>
      <c r="U104" s="3">
        <f>MIN(U$102,U$88-U$97)</f>
        <v>0</v>
      </c>
      <c r="V104" s="3">
        <f>MIN(V$102,V$88-V$97)</f>
        <v>0</v>
      </c>
      <c r="W104" s="3">
        <f t="shared" ref="W104:X104" si="31">MIN(W$102,W$88-W$97)</f>
        <v>146.68821833458898</v>
      </c>
      <c r="X104" s="3">
        <f t="shared" si="31"/>
        <v>232.19346234655154</v>
      </c>
    </row>
    <row r="105" spans="2:24" ht="7.05" customHeight="1" outlineLevel="1" x14ac:dyDescent="0.25">
      <c r="B105" s="39"/>
      <c r="C105" s="39"/>
      <c r="D105" s="39"/>
      <c r="E105" s="3"/>
      <c r="F105" s="3"/>
      <c r="G105" s="3"/>
      <c r="H105" s="3"/>
      <c r="I105" s="3"/>
      <c r="J105" s="3"/>
      <c r="K105" s="3"/>
      <c r="L105" s="3"/>
      <c r="M105" s="3"/>
      <c r="N105" s="3"/>
      <c r="O105" s="3"/>
      <c r="P105" s="3"/>
      <c r="Q105" s="3"/>
      <c r="R105" s="3"/>
      <c r="S105" s="3"/>
      <c r="T105" s="3"/>
      <c r="U105" s="3"/>
      <c r="V105" s="3"/>
      <c r="W105" s="3"/>
      <c r="X105" s="3"/>
    </row>
    <row r="106" spans="2:24" outlineLevel="1" x14ac:dyDescent="0.25">
      <c r="B106" s="93" t="s">
        <v>65</v>
      </c>
      <c r="C106" s="93"/>
      <c r="D106" s="66"/>
      <c r="E106" s="61"/>
      <c r="F106" s="61"/>
      <c r="G106" s="61"/>
      <c r="H106" s="61"/>
      <c r="I106" s="61"/>
      <c r="J106" s="61"/>
      <c r="K106" s="61"/>
      <c r="L106" s="61"/>
      <c r="M106" s="61"/>
      <c r="N106" s="61"/>
      <c r="O106" s="61"/>
      <c r="P106" s="61"/>
      <c r="Q106" s="61"/>
      <c r="R106" s="61"/>
      <c r="S106" s="64">
        <f>$W$6</f>
        <v>2500</v>
      </c>
      <c r="T106" s="64">
        <f>T$102-T$104</f>
        <v>2500</v>
      </c>
      <c r="U106" s="64">
        <f>U$102-U$104</f>
        <v>2500</v>
      </c>
      <c r="V106" s="64">
        <f>V$102-V$104</f>
        <v>2500</v>
      </c>
      <c r="W106" s="64">
        <f t="shared" ref="W106:X106" si="32">W$102-W$104</f>
        <v>2353.3117816654112</v>
      </c>
      <c r="X106" s="64">
        <f t="shared" si="32"/>
        <v>2121.1183193188599</v>
      </c>
    </row>
    <row r="107" spans="2:24" ht="7.05" customHeight="1" outlineLevel="1" x14ac:dyDescent="0.25">
      <c r="B107" s="39"/>
      <c r="C107" s="39"/>
      <c r="D107" s="39"/>
      <c r="E107" s="3"/>
      <c r="F107" s="3"/>
      <c r="G107" s="3"/>
      <c r="H107" s="3"/>
      <c r="I107" s="3"/>
      <c r="J107" s="3"/>
      <c r="K107" s="3"/>
      <c r="L107" s="3"/>
      <c r="M107" s="3"/>
      <c r="N107" s="3"/>
      <c r="O107" s="3"/>
      <c r="P107" s="3"/>
      <c r="Q107" s="3"/>
      <c r="R107" s="3"/>
      <c r="S107" s="3"/>
      <c r="T107" s="3"/>
      <c r="U107" s="3"/>
      <c r="V107" s="3"/>
      <c r="W107" s="3"/>
      <c r="X107" s="3"/>
    </row>
    <row r="108" spans="2:24" outlineLevel="1" x14ac:dyDescent="0.25">
      <c r="B108" s="92" t="s">
        <v>20</v>
      </c>
      <c r="C108" s="92"/>
      <c r="D108" s="39"/>
      <c r="E108" s="3"/>
      <c r="F108" s="3"/>
      <c r="G108" s="3"/>
      <c r="H108" s="3"/>
      <c r="I108" s="3"/>
      <c r="J108" s="3"/>
      <c r="K108" s="3"/>
      <c r="L108" s="3"/>
      <c r="M108" s="3"/>
      <c r="N108" s="3"/>
      <c r="O108" s="3"/>
      <c r="P108" s="3"/>
      <c r="Q108" s="3"/>
      <c r="R108" s="3"/>
      <c r="S108" s="29"/>
      <c r="T108" s="3"/>
      <c r="U108" s="3"/>
      <c r="V108" s="3"/>
      <c r="W108" s="3"/>
      <c r="X108" s="3"/>
    </row>
    <row r="109" spans="2:24" outlineLevel="1" x14ac:dyDescent="0.25">
      <c r="B109" s="94" t="s">
        <v>63</v>
      </c>
      <c r="C109" s="94"/>
      <c r="D109" s="94"/>
      <c r="E109" s="3"/>
      <c r="F109" s="3"/>
      <c r="G109" s="3"/>
      <c r="H109" s="3"/>
      <c r="I109" s="3"/>
      <c r="J109" s="3"/>
      <c r="K109" s="3"/>
      <c r="L109" s="3"/>
      <c r="M109" s="3"/>
      <c r="N109" s="3"/>
      <c r="O109" s="3"/>
      <c r="P109" s="3"/>
      <c r="Q109" s="3"/>
      <c r="R109" s="3"/>
      <c r="S109" s="29"/>
      <c r="T109" s="3">
        <f>S$113</f>
        <v>1500</v>
      </c>
      <c r="U109" s="3">
        <f>T$113</f>
        <v>1500</v>
      </c>
      <c r="V109" s="3">
        <f>U$113</f>
        <v>1500</v>
      </c>
      <c r="W109" s="3">
        <f>V$113</f>
        <v>1500</v>
      </c>
      <c r="X109" s="3">
        <f t="shared" ref="X109" si="33">W$113</f>
        <v>1353.311781665411</v>
      </c>
    </row>
    <row r="110" spans="2:24" outlineLevel="1" x14ac:dyDescent="0.25">
      <c r="B110" s="36" t="s">
        <v>52</v>
      </c>
      <c r="C110" s="36"/>
      <c r="D110" s="36"/>
      <c r="E110" s="3"/>
      <c r="F110" s="3"/>
      <c r="G110" s="3"/>
      <c r="H110" s="3"/>
      <c r="I110" s="3"/>
      <c r="J110" s="3"/>
      <c r="K110" s="3"/>
      <c r="L110" s="3"/>
      <c r="M110" s="3"/>
      <c r="N110" s="3"/>
      <c r="O110" s="3"/>
      <c r="P110" s="3"/>
      <c r="Q110" s="3"/>
      <c r="R110" s="3"/>
      <c r="S110" s="29"/>
      <c r="T110" s="3">
        <f>T$109*$X$7</f>
        <v>187.5</v>
      </c>
      <c r="U110" s="3">
        <f>U$109*$X$7</f>
        <v>187.5</v>
      </c>
      <c r="V110" s="3">
        <f>V$109*$X$7</f>
        <v>187.5</v>
      </c>
      <c r="W110" s="3">
        <f>W$109*$X$7</f>
        <v>187.5</v>
      </c>
      <c r="X110" s="3">
        <f>X$109*$X$7</f>
        <v>169.16397270817637</v>
      </c>
    </row>
    <row r="111" spans="2:24" outlineLevel="1" x14ac:dyDescent="0.25">
      <c r="B111" s="94" t="s">
        <v>64</v>
      </c>
      <c r="C111" s="94"/>
      <c r="D111" s="36"/>
      <c r="E111" s="3"/>
      <c r="F111" s="3"/>
      <c r="G111" s="3"/>
      <c r="H111" s="3"/>
      <c r="I111" s="3"/>
      <c r="J111" s="3"/>
      <c r="K111" s="3"/>
      <c r="L111" s="3"/>
      <c r="M111" s="3"/>
      <c r="N111" s="3"/>
      <c r="O111" s="3"/>
      <c r="P111" s="3"/>
      <c r="Q111" s="3"/>
      <c r="R111" s="3"/>
      <c r="S111" s="29"/>
      <c r="T111" s="3">
        <f>MIN(T$109,T$88-T$97,T$104)</f>
        <v>0</v>
      </c>
      <c r="U111" s="3">
        <f>MIN(U$109,U$88-U$97,U$104)</f>
        <v>0</v>
      </c>
      <c r="V111" s="3">
        <f>MIN(V$109,V$88-V$97,V$104)</f>
        <v>0</v>
      </c>
      <c r="W111" s="3">
        <f t="shared" ref="W111:X111" si="34">MIN(W$109,W$88-W$97,W$104)</f>
        <v>146.68821833458898</v>
      </c>
      <c r="X111" s="3">
        <f t="shared" si="34"/>
        <v>232.19346234655154</v>
      </c>
    </row>
    <row r="112" spans="2:24" ht="7.05" customHeight="1" outlineLevel="1" x14ac:dyDescent="0.25">
      <c r="B112" s="39"/>
      <c r="C112" s="39"/>
      <c r="D112" s="39"/>
      <c r="E112" s="3"/>
      <c r="F112" s="3"/>
      <c r="G112" s="3"/>
      <c r="H112" s="3"/>
      <c r="I112" s="3"/>
      <c r="J112" s="3"/>
      <c r="K112" s="3"/>
      <c r="L112" s="3"/>
      <c r="M112" s="3"/>
      <c r="N112" s="3"/>
      <c r="O112" s="3"/>
      <c r="P112" s="3"/>
      <c r="Q112" s="3"/>
      <c r="R112" s="3"/>
      <c r="S112" s="3"/>
      <c r="T112" s="3"/>
      <c r="U112" s="3"/>
      <c r="V112" s="3"/>
      <c r="W112" s="3"/>
      <c r="X112" s="3"/>
    </row>
    <row r="113" spans="2:24" outlineLevel="1" x14ac:dyDescent="0.25">
      <c r="B113" s="93" t="s">
        <v>65</v>
      </c>
      <c r="C113" s="93"/>
      <c r="D113" s="66"/>
      <c r="E113" s="61"/>
      <c r="F113" s="61"/>
      <c r="G113" s="61"/>
      <c r="H113" s="61"/>
      <c r="I113" s="61"/>
      <c r="J113" s="61"/>
      <c r="K113" s="61"/>
      <c r="L113" s="61"/>
      <c r="M113" s="61"/>
      <c r="N113" s="61"/>
      <c r="O113" s="61"/>
      <c r="P113" s="61"/>
      <c r="Q113" s="61"/>
      <c r="R113" s="61"/>
      <c r="S113" s="64">
        <f>$W$7</f>
        <v>1500</v>
      </c>
      <c r="T113" s="64">
        <f>T$109-T$111</f>
        <v>1500</v>
      </c>
      <c r="U113" s="64">
        <f>U$109-U$111</f>
        <v>1500</v>
      </c>
      <c r="V113" s="64">
        <f>V$109-V$111</f>
        <v>1500</v>
      </c>
      <c r="W113" s="64">
        <f t="shared" ref="W113:X113" si="35">W$109-W$111</f>
        <v>1353.311781665411</v>
      </c>
      <c r="X113" s="64">
        <f t="shared" si="35"/>
        <v>1121.1183193188594</v>
      </c>
    </row>
    <row r="114" spans="2:24" ht="7.05" customHeight="1" outlineLevel="1" x14ac:dyDescent="0.25">
      <c r="B114" s="3"/>
      <c r="C114" s="3"/>
      <c r="D114" s="3"/>
      <c r="E114" s="3"/>
      <c r="F114" s="3"/>
      <c r="G114" s="3"/>
      <c r="H114" s="3"/>
      <c r="I114" s="3"/>
      <c r="J114" s="3"/>
      <c r="K114" s="3"/>
      <c r="L114" s="3"/>
      <c r="M114" s="3"/>
      <c r="N114" s="3"/>
      <c r="O114" s="3"/>
      <c r="P114" s="3"/>
      <c r="Q114" s="3"/>
      <c r="R114" s="3"/>
      <c r="S114" s="3"/>
      <c r="T114" s="3"/>
      <c r="U114" s="3"/>
      <c r="V114" s="3"/>
      <c r="W114" s="3"/>
      <c r="X114" s="3"/>
    </row>
    <row r="115" spans="2:24" outlineLevel="1" x14ac:dyDescent="0.25">
      <c r="B115" s="92" t="s">
        <v>36</v>
      </c>
      <c r="C115" s="92"/>
      <c r="D115" s="39"/>
      <c r="E115" s="3"/>
      <c r="F115" s="3"/>
      <c r="G115" s="3"/>
      <c r="H115" s="3"/>
      <c r="I115" s="3"/>
      <c r="J115" s="3"/>
      <c r="K115" s="3"/>
      <c r="L115" s="3"/>
      <c r="M115" s="3"/>
      <c r="N115" s="3"/>
      <c r="O115" s="3"/>
      <c r="P115" s="3"/>
      <c r="Q115" s="3"/>
      <c r="R115" s="3"/>
      <c r="S115" s="29"/>
      <c r="T115" s="3"/>
      <c r="U115" s="3"/>
      <c r="V115" s="3"/>
      <c r="W115" s="3"/>
      <c r="X115" s="3"/>
    </row>
    <row r="116" spans="2:24" outlineLevel="1" x14ac:dyDescent="0.25">
      <c r="B116" s="94" t="s">
        <v>63</v>
      </c>
      <c r="C116" s="94"/>
      <c r="D116" s="94"/>
      <c r="E116" s="3"/>
      <c r="F116" s="3"/>
      <c r="G116" s="3"/>
      <c r="H116" s="3"/>
      <c r="I116" s="3"/>
      <c r="J116" s="3"/>
      <c r="K116" s="3"/>
      <c r="L116" s="3"/>
      <c r="M116" s="3"/>
      <c r="N116" s="3"/>
      <c r="O116" s="3"/>
      <c r="P116" s="3"/>
      <c r="Q116" s="3"/>
      <c r="R116" s="3"/>
      <c r="S116" s="29"/>
      <c r="T116" s="3">
        <f t="shared" ref="T116:V118" si="36">T95+T102+T109</f>
        <v>4200</v>
      </c>
      <c r="U116" s="3">
        <f t="shared" si="36"/>
        <v>4177.1000000000004</v>
      </c>
      <c r="V116" s="3">
        <f t="shared" si="36"/>
        <v>4115.7931750000007</v>
      </c>
      <c r="W116" s="3">
        <f t="shared" ref="W116:X116" si="37">W95+W102+W109</f>
        <v>4010.0989206187501</v>
      </c>
      <c r="X116" s="3">
        <f t="shared" si="37"/>
        <v>3706.6235633308224</v>
      </c>
    </row>
    <row r="117" spans="2:24" outlineLevel="1" x14ac:dyDescent="0.25">
      <c r="B117" s="36" t="s">
        <v>52</v>
      </c>
      <c r="C117" s="36"/>
      <c r="D117" s="36"/>
      <c r="E117" s="3"/>
      <c r="F117" s="3"/>
      <c r="G117" s="3"/>
      <c r="H117" s="3"/>
      <c r="I117" s="3"/>
      <c r="J117" s="3"/>
      <c r="K117" s="3"/>
      <c r="L117" s="3"/>
      <c r="M117" s="3"/>
      <c r="N117" s="3"/>
      <c r="O117" s="3"/>
      <c r="P117" s="3"/>
      <c r="Q117" s="3"/>
      <c r="R117" s="3"/>
      <c r="S117" s="29"/>
      <c r="T117" s="3">
        <f t="shared" si="36"/>
        <v>440</v>
      </c>
      <c r="U117" s="3">
        <f t="shared" si="36"/>
        <v>438.28250000000003</v>
      </c>
      <c r="V117" s="3">
        <f t="shared" si="36"/>
        <v>433.68448812500003</v>
      </c>
      <c r="W117" s="3">
        <f t="shared" ref="W117:X117" si="38">W96+W103+W110</f>
        <v>425.75741904640626</v>
      </c>
      <c r="X117" s="3">
        <f t="shared" si="38"/>
        <v>392.72859196639047</v>
      </c>
    </row>
    <row r="118" spans="2:24" outlineLevel="1" x14ac:dyDescent="0.25">
      <c r="B118" s="94" t="s">
        <v>64</v>
      </c>
      <c r="C118" s="94"/>
      <c r="D118" s="36"/>
      <c r="E118" s="3"/>
      <c r="F118" s="3"/>
      <c r="G118" s="3"/>
      <c r="H118" s="3"/>
      <c r="I118" s="3"/>
      <c r="J118" s="3"/>
      <c r="K118" s="3"/>
      <c r="L118" s="3"/>
      <c r="M118" s="3"/>
      <c r="N118" s="3"/>
      <c r="O118" s="3"/>
      <c r="P118" s="3"/>
      <c r="Q118" s="3"/>
      <c r="R118" s="3"/>
      <c r="S118" s="29"/>
      <c r="T118" s="3">
        <f t="shared" si="36"/>
        <v>22.899999999999977</v>
      </c>
      <c r="U118" s="3">
        <f t="shared" si="36"/>
        <v>61.306824999999975</v>
      </c>
      <c r="V118" s="3">
        <f t="shared" si="36"/>
        <v>105.69425438124989</v>
      </c>
      <c r="W118" s="3">
        <f t="shared" ref="W118:X118" si="39">W97+W104+W111</f>
        <v>303.47535728792809</v>
      </c>
      <c r="X118" s="3">
        <f t="shared" si="39"/>
        <v>464.38692469310308</v>
      </c>
    </row>
    <row r="119" spans="2:24" ht="7.05" customHeight="1" outlineLevel="1" x14ac:dyDescent="0.25">
      <c r="B119" s="39"/>
      <c r="C119" s="39"/>
      <c r="D119" s="39"/>
      <c r="E119" s="3"/>
      <c r="F119" s="3"/>
      <c r="G119" s="3"/>
      <c r="H119" s="3"/>
      <c r="I119" s="3"/>
      <c r="J119" s="3"/>
      <c r="K119" s="3"/>
      <c r="L119" s="3"/>
      <c r="M119" s="3"/>
      <c r="N119" s="3"/>
      <c r="O119" s="3"/>
      <c r="P119" s="3"/>
      <c r="Q119" s="3"/>
      <c r="R119" s="3"/>
      <c r="S119" s="3"/>
      <c r="T119" s="3"/>
      <c r="U119" s="3"/>
      <c r="V119" s="3"/>
      <c r="W119" s="3"/>
      <c r="X119" s="3"/>
    </row>
    <row r="120" spans="2:24" outlineLevel="1" x14ac:dyDescent="0.25">
      <c r="B120" s="93" t="s">
        <v>65</v>
      </c>
      <c r="C120" s="93"/>
      <c r="D120" s="66"/>
      <c r="E120" s="61"/>
      <c r="F120" s="61"/>
      <c r="G120" s="61"/>
      <c r="H120" s="61"/>
      <c r="I120" s="61"/>
      <c r="J120" s="61"/>
      <c r="K120" s="61"/>
      <c r="L120" s="61"/>
      <c r="M120" s="61"/>
      <c r="N120" s="61"/>
      <c r="O120" s="61"/>
      <c r="P120" s="61"/>
      <c r="Q120" s="61"/>
      <c r="R120" s="61"/>
      <c r="S120" s="64">
        <f>S99+S106+S113</f>
        <v>4200</v>
      </c>
      <c r="T120" s="64">
        <f>SUM(T116:T118)</f>
        <v>4662.8999999999996</v>
      </c>
      <c r="U120" s="64">
        <f>SUM(U116:U118)</f>
        <v>4676.6893250000003</v>
      </c>
      <c r="V120" s="64">
        <f>SUM(V116:V118)</f>
        <v>4655.1719175062508</v>
      </c>
      <c r="W120" s="64">
        <f t="shared" ref="W120:X120" si="40">SUM(W116:W118)</f>
        <v>4739.3316969530842</v>
      </c>
      <c r="X120" s="64">
        <f t="shared" si="40"/>
        <v>4563.7390799903151</v>
      </c>
    </row>
    <row r="121" spans="2:24" x14ac:dyDescent="0.25">
      <c r="B121" s="39"/>
      <c r="C121" s="39"/>
      <c r="D121" s="39"/>
      <c r="E121" s="3"/>
      <c r="F121" s="3"/>
      <c r="G121" s="3"/>
      <c r="H121" s="3"/>
      <c r="I121" s="3"/>
      <c r="J121" s="3"/>
      <c r="K121" s="3"/>
      <c r="L121" s="3"/>
      <c r="M121" s="3"/>
      <c r="N121" s="3"/>
      <c r="O121" s="3"/>
      <c r="P121" s="3"/>
      <c r="Q121" s="3"/>
      <c r="R121" s="3"/>
      <c r="S121" s="3"/>
      <c r="T121" s="3"/>
      <c r="U121" s="3"/>
      <c r="V121" s="3"/>
      <c r="W121" s="3"/>
      <c r="X121" s="3"/>
    </row>
    <row r="122" spans="2:24" x14ac:dyDescent="0.25">
      <c r="B122" s="4" t="s">
        <v>22</v>
      </c>
      <c r="C122" s="4"/>
      <c r="D122" s="4"/>
      <c r="E122" s="4"/>
      <c r="F122" s="4"/>
      <c r="G122" s="4"/>
      <c r="H122" s="4"/>
      <c r="I122" s="4"/>
      <c r="J122" s="4"/>
      <c r="K122" s="4"/>
      <c r="L122" s="4"/>
      <c r="M122" s="4"/>
      <c r="N122" s="4"/>
      <c r="O122" s="4"/>
      <c r="P122" s="4"/>
      <c r="Q122" s="4"/>
      <c r="R122" s="4"/>
      <c r="S122" s="4"/>
      <c r="T122" s="4"/>
      <c r="U122" s="4"/>
      <c r="V122" s="4"/>
      <c r="W122" s="4"/>
      <c r="X122" s="4"/>
    </row>
    <row r="123" spans="2:24" ht="7.05" customHeight="1" outlineLevel="1" x14ac:dyDescent="0.25">
      <c r="B123" s="3"/>
      <c r="C123" s="3"/>
      <c r="D123" s="3"/>
      <c r="E123" s="3"/>
      <c r="F123" s="3"/>
      <c r="G123" s="3"/>
      <c r="H123" s="3"/>
      <c r="I123" s="3"/>
      <c r="J123" s="3"/>
      <c r="K123" s="3"/>
      <c r="L123" s="3"/>
      <c r="M123" s="3"/>
      <c r="N123" s="3"/>
      <c r="O123" s="3"/>
      <c r="P123" s="3"/>
      <c r="Q123" s="3"/>
      <c r="R123" s="3"/>
      <c r="S123" s="3"/>
      <c r="T123" s="3"/>
      <c r="U123" s="3"/>
      <c r="V123" s="3"/>
      <c r="W123" s="3"/>
      <c r="X123" s="3"/>
    </row>
    <row r="124" spans="2:24" outlineLevel="1" x14ac:dyDescent="0.25">
      <c r="B124" s="89" t="s">
        <v>66</v>
      </c>
      <c r="C124" s="89"/>
      <c r="D124" s="3"/>
      <c r="E124" s="3"/>
      <c r="F124" s="3"/>
      <c r="G124" s="3"/>
      <c r="H124" s="3"/>
      <c r="I124" s="3"/>
      <c r="J124" s="3"/>
      <c r="K124" s="3"/>
      <c r="L124" s="3"/>
      <c r="M124" s="3"/>
      <c r="N124" s="3"/>
      <c r="O124" s="3"/>
      <c r="P124" s="3"/>
      <c r="Q124" s="3"/>
      <c r="R124" s="3"/>
      <c r="S124" s="3"/>
      <c r="T124" s="3"/>
      <c r="U124" s="3"/>
      <c r="V124" s="3"/>
      <c r="W124" s="3"/>
      <c r="X124" s="19">
        <f>$X$48</f>
        <v>966.30600000000004</v>
      </c>
    </row>
    <row r="125" spans="2:24" outlineLevel="1" x14ac:dyDescent="0.25">
      <c r="B125" s="95" t="s">
        <v>67</v>
      </c>
      <c r="C125" s="95"/>
      <c r="D125" s="38"/>
      <c r="E125" s="38"/>
      <c r="F125" s="38"/>
      <c r="G125" s="38"/>
      <c r="H125" s="38"/>
      <c r="I125" s="38"/>
      <c r="J125" s="38"/>
      <c r="K125" s="38"/>
      <c r="L125" s="38"/>
      <c r="M125" s="38"/>
      <c r="N125" s="38"/>
      <c r="O125" s="38"/>
      <c r="P125" s="38"/>
      <c r="Q125" s="38"/>
      <c r="R125" s="38"/>
      <c r="S125" s="38"/>
      <c r="T125" s="38"/>
      <c r="U125" s="38"/>
      <c r="V125" s="38"/>
      <c r="W125" s="38"/>
      <c r="X125" s="73">
        <f>$N$15</f>
        <v>10</v>
      </c>
    </row>
    <row r="126" spans="2:24" outlineLevel="1" x14ac:dyDescent="0.25">
      <c r="B126" s="92" t="s">
        <v>6</v>
      </c>
      <c r="C126" s="92"/>
      <c r="D126" s="9"/>
      <c r="E126" s="9"/>
      <c r="F126" s="9"/>
      <c r="G126" s="9"/>
      <c r="H126" s="9"/>
      <c r="I126" s="9"/>
      <c r="J126" s="9"/>
      <c r="K126" s="9"/>
      <c r="L126" s="9"/>
      <c r="M126" s="9"/>
      <c r="N126" s="9"/>
      <c r="O126" s="9"/>
      <c r="P126" s="9"/>
      <c r="Q126" s="9"/>
      <c r="R126" s="9"/>
      <c r="S126" s="9"/>
      <c r="T126" s="9"/>
      <c r="U126" s="9"/>
      <c r="V126" s="9"/>
      <c r="W126" s="9"/>
      <c r="X126" s="74">
        <f>$X$124*$X$125</f>
        <v>9663.0600000000013</v>
      </c>
    </row>
    <row r="127" spans="2:24" outlineLevel="1" x14ac:dyDescent="0.25">
      <c r="B127" s="39" t="s">
        <v>68</v>
      </c>
      <c r="C127" s="39"/>
      <c r="D127" s="3"/>
      <c r="E127" s="3"/>
      <c r="F127" s="3"/>
      <c r="G127" s="3"/>
      <c r="H127" s="3"/>
      <c r="I127" s="3"/>
      <c r="J127" s="3"/>
      <c r="K127" s="3"/>
      <c r="L127" s="3"/>
      <c r="M127" s="3"/>
      <c r="N127" s="3"/>
      <c r="O127" s="3"/>
      <c r="P127" s="3"/>
      <c r="Q127" s="3"/>
      <c r="R127" s="3"/>
      <c r="S127" s="3"/>
      <c r="T127" s="3"/>
      <c r="U127" s="3"/>
      <c r="V127" s="3"/>
      <c r="W127" s="3"/>
      <c r="X127" s="19">
        <f>$X$120</f>
        <v>4563.7390799903151</v>
      </c>
    </row>
    <row r="128" spans="2:24" outlineLevel="1" x14ac:dyDescent="0.25">
      <c r="B128" s="39"/>
      <c r="C128" s="39"/>
      <c r="D128" s="3"/>
      <c r="E128" s="3"/>
      <c r="F128" s="3"/>
      <c r="G128" s="3"/>
      <c r="H128" s="3"/>
      <c r="I128" s="3"/>
      <c r="J128" s="3"/>
      <c r="K128" s="3"/>
      <c r="L128" s="3"/>
      <c r="M128" s="3"/>
      <c r="N128" s="3"/>
      <c r="O128" s="3"/>
      <c r="P128" s="3"/>
      <c r="Q128" s="3"/>
      <c r="R128" s="3"/>
      <c r="S128" s="3"/>
      <c r="T128" s="3"/>
      <c r="U128" s="3"/>
      <c r="V128" s="3"/>
      <c r="W128" s="3"/>
      <c r="X128" s="19"/>
    </row>
    <row r="129" spans="2:24" outlineLevel="1" x14ac:dyDescent="0.25">
      <c r="B129" s="93" t="s">
        <v>69</v>
      </c>
      <c r="C129" s="93"/>
      <c r="D129" s="93"/>
      <c r="E129" s="61"/>
      <c r="F129" s="61"/>
      <c r="G129" s="61"/>
      <c r="H129" s="61"/>
      <c r="I129" s="61"/>
      <c r="J129" s="61"/>
      <c r="K129" s="61"/>
      <c r="L129" s="61"/>
      <c r="M129" s="61"/>
      <c r="N129" s="61"/>
      <c r="O129" s="61"/>
      <c r="P129" s="61"/>
      <c r="Q129" s="61"/>
      <c r="R129" s="61"/>
      <c r="S129" s="61"/>
      <c r="T129" s="61"/>
      <c r="U129" s="61"/>
      <c r="V129" s="61"/>
      <c r="W129" s="61"/>
      <c r="X129" s="75">
        <f>$X$126-$X$127</f>
        <v>5099.3209200096862</v>
      </c>
    </row>
    <row r="130" spans="2:24" outlineLevel="1" x14ac:dyDescent="0.25">
      <c r="B130" s="39"/>
      <c r="C130" s="39"/>
      <c r="D130" s="39"/>
      <c r="E130" s="3"/>
      <c r="F130" s="3"/>
      <c r="G130" s="3"/>
      <c r="H130" s="3"/>
      <c r="I130" s="3"/>
      <c r="J130" s="3"/>
      <c r="K130" s="3"/>
      <c r="L130" s="3"/>
      <c r="M130" s="3"/>
      <c r="N130" s="3"/>
      <c r="O130" s="3"/>
      <c r="P130" s="3"/>
      <c r="Q130" s="3"/>
      <c r="R130" s="3"/>
      <c r="S130" s="3"/>
      <c r="T130" s="3"/>
      <c r="U130" s="3"/>
      <c r="V130" s="3"/>
      <c r="W130" s="3"/>
      <c r="X130" s="19"/>
    </row>
    <row r="131" spans="2:24" outlineLevel="1" x14ac:dyDescent="0.25">
      <c r="B131" s="89" t="s">
        <v>70</v>
      </c>
      <c r="C131" s="89"/>
      <c r="D131" s="89"/>
      <c r="E131" s="3"/>
      <c r="F131" s="3"/>
      <c r="G131" s="3"/>
      <c r="H131" s="3"/>
      <c r="I131" s="3"/>
      <c r="J131" s="3"/>
      <c r="K131" s="3"/>
      <c r="L131" s="3"/>
      <c r="M131" s="3"/>
      <c r="N131" s="3"/>
      <c r="O131" s="3"/>
      <c r="P131" s="3"/>
      <c r="Q131" s="3"/>
      <c r="R131" s="3"/>
      <c r="S131" s="3"/>
      <c r="T131" s="3"/>
      <c r="U131" s="3"/>
      <c r="V131" s="3"/>
      <c r="W131" s="3"/>
      <c r="X131" s="19">
        <f>$H$28</f>
        <v>1900</v>
      </c>
    </row>
    <row r="132" spans="2:24" outlineLevel="1" x14ac:dyDescent="0.25">
      <c r="B132" s="39"/>
      <c r="C132" s="39"/>
      <c r="D132" s="3"/>
      <c r="E132" s="3"/>
      <c r="F132" s="3"/>
      <c r="G132" s="3"/>
      <c r="H132" s="3"/>
      <c r="I132" s="3"/>
      <c r="J132" s="3"/>
      <c r="K132" s="3"/>
      <c r="L132" s="3"/>
      <c r="M132" s="3"/>
      <c r="N132" s="3"/>
      <c r="O132" s="3"/>
      <c r="P132" s="3"/>
      <c r="Q132" s="3"/>
      <c r="R132" s="3"/>
      <c r="S132" s="3"/>
      <c r="T132" s="3"/>
      <c r="U132" s="3"/>
      <c r="V132" s="3"/>
      <c r="W132" s="3"/>
      <c r="X132" s="19"/>
    </row>
    <row r="133" spans="2:24" outlineLevel="1" x14ac:dyDescent="0.25">
      <c r="B133" s="69" t="s">
        <v>71</v>
      </c>
      <c r="C133" s="70"/>
      <c r="D133" s="70"/>
      <c r="E133" s="70"/>
      <c r="F133" s="70"/>
      <c r="G133" s="70"/>
      <c r="H133" s="70"/>
      <c r="I133" s="70"/>
      <c r="J133" s="70"/>
      <c r="K133" s="70"/>
      <c r="L133" s="70"/>
      <c r="M133" s="70"/>
      <c r="N133" s="70"/>
      <c r="O133" s="70"/>
      <c r="P133" s="70"/>
      <c r="Q133" s="70"/>
      <c r="R133" s="70"/>
      <c r="S133" s="70"/>
      <c r="T133" s="70"/>
      <c r="U133" s="70"/>
      <c r="V133" s="70"/>
      <c r="W133" s="70"/>
      <c r="X133" s="76">
        <f>X129/X131</f>
        <v>2.6838531157945718</v>
      </c>
    </row>
    <row r="134" spans="2:24" outlineLevel="1" x14ac:dyDescent="0.25">
      <c r="B134" s="71" t="s">
        <v>22</v>
      </c>
      <c r="C134" s="72"/>
      <c r="D134" s="72"/>
      <c r="E134" s="72"/>
      <c r="F134" s="72"/>
      <c r="G134" s="72"/>
      <c r="H134" s="72"/>
      <c r="I134" s="72"/>
      <c r="J134" s="72"/>
      <c r="K134" s="72"/>
      <c r="L134" s="72"/>
      <c r="M134" s="72"/>
      <c r="N134" s="72"/>
      <c r="O134" s="72"/>
      <c r="P134" s="72"/>
      <c r="Q134" s="72"/>
      <c r="R134" s="72"/>
      <c r="S134" s="72"/>
      <c r="T134" s="72"/>
      <c r="U134" s="72"/>
      <c r="V134" s="72"/>
      <c r="W134" s="72"/>
      <c r="X134" s="77">
        <f>X133^(1/5)-1</f>
        <v>0.21829299963464921</v>
      </c>
    </row>
    <row r="135" spans="2:24" x14ac:dyDescent="0.25">
      <c r="B135" s="3"/>
      <c r="C135" s="3"/>
      <c r="D135" s="3"/>
      <c r="E135" s="3"/>
      <c r="F135" s="3"/>
      <c r="G135" s="3"/>
      <c r="H135" s="3"/>
      <c r="I135" s="3"/>
      <c r="J135" s="3"/>
      <c r="K135" s="3"/>
      <c r="L135" s="3"/>
      <c r="M135" s="3"/>
      <c r="N135" s="3"/>
      <c r="O135" s="3"/>
      <c r="P135" s="3"/>
      <c r="Q135" s="3"/>
      <c r="R135" s="3"/>
      <c r="S135" s="3"/>
      <c r="T135" s="3"/>
      <c r="U135" s="3"/>
      <c r="V135" s="3"/>
      <c r="W135" s="3"/>
      <c r="X135" s="3"/>
    </row>
  </sheetData>
  <mergeCells count="58">
    <mergeCell ref="Q3:R3"/>
    <mergeCell ref="Q6:R6"/>
    <mergeCell ref="Q7:R7"/>
    <mergeCell ref="B13:D13"/>
    <mergeCell ref="Q13:R13"/>
    <mergeCell ref="B3:D3"/>
    <mergeCell ref="B5:D5"/>
    <mergeCell ref="J5:K5"/>
    <mergeCell ref="J6:K6"/>
    <mergeCell ref="J7:K7"/>
    <mergeCell ref="J8:K8"/>
    <mergeCell ref="B15:C15"/>
    <mergeCell ref="J15:K15"/>
    <mergeCell ref="B1:C1"/>
    <mergeCell ref="B18:C18"/>
    <mergeCell ref="B32:C32"/>
    <mergeCell ref="J9:K9"/>
    <mergeCell ref="J11:K11"/>
    <mergeCell ref="B94:C94"/>
    <mergeCell ref="P23:Q23"/>
    <mergeCell ref="P24:Q24"/>
    <mergeCell ref="P26:Q26"/>
    <mergeCell ref="P30:Q30"/>
    <mergeCell ref="B68:C68"/>
    <mergeCell ref="B73:D73"/>
    <mergeCell ref="B63:C63"/>
    <mergeCell ref="B65:C65"/>
    <mergeCell ref="B42:C42"/>
    <mergeCell ref="B24:C24"/>
    <mergeCell ref="B25:C25"/>
    <mergeCell ref="B30:C30"/>
    <mergeCell ref="B28:C28"/>
    <mergeCell ref="B37:C37"/>
    <mergeCell ref="B76:E76"/>
    <mergeCell ref="B83:C83"/>
    <mergeCell ref="B86:C86"/>
    <mergeCell ref="B88:D88"/>
    <mergeCell ref="B90:C90"/>
    <mergeCell ref="B120:C120"/>
    <mergeCell ref="B118:C118"/>
    <mergeCell ref="B116:D116"/>
    <mergeCell ref="B115:C115"/>
    <mergeCell ref="B95:D95"/>
    <mergeCell ref="B97:C97"/>
    <mergeCell ref="B99:C99"/>
    <mergeCell ref="B101:C101"/>
    <mergeCell ref="B102:D102"/>
    <mergeCell ref="B104:C104"/>
    <mergeCell ref="B106:C106"/>
    <mergeCell ref="B108:C108"/>
    <mergeCell ref="B126:C126"/>
    <mergeCell ref="B129:D129"/>
    <mergeCell ref="B131:D131"/>
    <mergeCell ref="B109:D109"/>
    <mergeCell ref="B111:C111"/>
    <mergeCell ref="B113:C113"/>
    <mergeCell ref="B124:C124"/>
    <mergeCell ref="B125:C125"/>
  </mergeCells>
  <printOptions horizontalCentered="1" verticalCentered="1"/>
  <pageMargins left="0" right="0" top="0" bottom="0" header="0" footer="0"/>
  <pageSetup paperSize="9" scale="33" orientation="landscape" horizontalDpi="1200" verticalDpi="1200" r:id="rId1"/>
  <rowBreaks count="1" manualBreakCount="1">
    <brk id="134" max="16383" man="1"/>
  </rowBreaks>
  <colBreaks count="1" manualBreakCount="1">
    <brk id="2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LBO MODEL</vt:lpstr>
      <vt:lpstr>TASK 1</vt:lpstr>
      <vt:lpstr>LBO</vt:lpstr>
      <vt:lpstr>LBO!Print_Area</vt:lpstr>
      <vt:lpstr>'LBO MODEL'!Print_Area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Wagh</dc:creator>
  <cp:lastModifiedBy>Swati Wagh</cp:lastModifiedBy>
  <cp:lastPrinted>2026-01-27T06:32:42Z</cp:lastPrinted>
  <dcterms:created xsi:type="dcterms:W3CDTF">2026-01-24T15:32:42Z</dcterms:created>
  <dcterms:modified xsi:type="dcterms:W3CDTF">2026-01-30T07:31:56Z</dcterms:modified>
</cp:coreProperties>
</file>